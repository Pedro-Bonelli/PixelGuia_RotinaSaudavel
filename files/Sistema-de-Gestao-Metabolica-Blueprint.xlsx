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GINE" sheetId="1" state="visible" r:id="rId3"/>
    <sheet name="PROTOCOLO" sheetId="2" state="visible" r:id="rId4"/>
    <sheet name="CARDAPIO" sheetId="3" state="visible" r:id="rId5"/>
    <sheet name="CARGA" sheetId="4" state="visible" r:id="rId6"/>
  </sheets>
  <definedNames>
    <definedName function="false" hidden="false" localSheetId="2" name="_xlnm.Print_Area" vbProcedure="false">CARDAPIO!$A$1:$H$37</definedName>
    <definedName function="false" hidden="false" localSheetId="3" name="_xlnm.Print_Area" vbProcedure="false">CARGA!$A$1:$J$43</definedName>
    <definedName function="false" hidden="false" localSheetId="0" name="_xlnm.Print_Area" vbProcedure="false">ENGINE!$A$1:$E$26</definedName>
    <definedName function="false" hidden="false" localSheetId="1" name="_xlnm.Print_Area" vbProcedure="false">PROTOCOLO!$A$1:$I$48</definedName>
    <definedName function="false" hidden="false" name="BaseAlimentos" vbProcedure="false">CARDAPIO!$M$1:$R$17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Coluna auxiliar recomendada pelo blueprint para localizar o volume do mesmo exercício na semana anterior, evitando fórmulas frágeis de OFFSET+MATCH. Pode ser ocultada após validação.</t>
        </r>
      </text>
    </comment>
  </commentList>
</comments>
</file>

<file path=xl/sharedStrings.xml><?xml version="1.0" encoding="utf-8"?>
<sst xmlns="http://schemas.openxmlformats.org/spreadsheetml/2006/main" count="114" uniqueCount="95">
  <si>
    <t xml:space="preserve">SISTEMA DE GESTÃO METABÓLICA</t>
  </si>
  <si>
    <t xml:space="preserve">Blueprint de Construção — Ferramenta Companion do E-book "40 Dias" | Pixel Guia</t>
  </si>
  <si>
    <t xml:space="preserve">01. DADOS DO USUÁRIO</t>
  </si>
  <si>
    <t xml:space="preserve">Nível</t>
  </si>
  <si>
    <t xml:space="preserve">Fator</t>
  </si>
  <si>
    <t xml:space="preserve">Peso Atual (kg)</t>
  </si>
  <si>
    <t xml:space="preserve">Sedentário</t>
  </si>
  <si>
    <t xml:space="preserve">Altura (cm)</t>
  </si>
  <si>
    <t xml:space="preserve">Leve (treino 1–3x/semana)</t>
  </si>
  <si>
    <t xml:space="preserve">Idade</t>
  </si>
  <si>
    <t xml:space="preserve">Moderado (treino 3–5x/semana)</t>
  </si>
  <si>
    <t xml:space="preserve">Gênero</t>
  </si>
  <si>
    <t xml:space="preserve">Masculino</t>
  </si>
  <si>
    <t xml:space="preserve">Ativo (treino 6–7x/semana)</t>
  </si>
  <si>
    <t xml:space="preserve">Fator de Atividade</t>
  </si>
  <si>
    <t xml:space="preserve">Muito Ativo (atleta/físico)</t>
  </si>
  <si>
    <t xml:space="preserve">02. RESULTADOS METABÓLICOS</t>
  </si>
  <si>
    <t xml:space="preserve">TMB (kcal/dia)</t>
  </si>
  <si>
    <t xml:space="preserve">Gasto Calórico Total — TDEE (kcal/dia)</t>
  </si>
  <si>
    <t xml:space="preserve">Target Calórico — Déficit de 400 kcal</t>
  </si>
  <si>
    <t xml:space="preserve">03. MACRONUTRIENTES</t>
  </si>
  <si>
    <t xml:space="preserve">Proteína (g/dia)</t>
  </si>
  <si>
    <t xml:space="preserve">Proteína (kcal)</t>
  </si>
  <si>
    <t xml:space="preserve">Gordura (g/dia)</t>
  </si>
  <si>
    <t xml:space="preserve">Gordura (kcal)</t>
  </si>
  <si>
    <t xml:space="preserve">Carboidrato (g/dia)</t>
  </si>
  <si>
    <t xml:space="preserve">Carboidrato (kcal)</t>
  </si>
  <si>
    <t xml:space="preserve">LEGENDA</t>
  </si>
  <si>
    <t xml:space="preserve">Preencha apenas as células em dourado (B5, B6, B7, B8, B9). Todas as demais são calculadas automaticamente pela planilha.</t>
  </si>
  <si>
    <t xml:space="preserve">Dia</t>
  </si>
  <si>
    <t xml:space="preserve">Fase</t>
  </si>
  <si>
    <t xml:space="preserve">Peso Diário (kg)</t>
  </si>
  <si>
    <t xml:space="preserve">Calorias Consumidas</t>
  </si>
  <si>
    <t xml:space="preserve">Proteína Bateu?</t>
  </si>
  <si>
    <t xml:space="preserve">Água (L)</t>
  </si>
  <si>
    <t xml:space="preserve">Sono (h)</t>
  </si>
  <si>
    <t xml:space="preserve">Treinou?</t>
  </si>
  <si>
    <t xml:space="preserve">Aderência do Dia</t>
  </si>
  <si>
    <t xml:space="preserve">Sim</t>
  </si>
  <si>
    <t xml:space="preserve">RESUMO FINAL</t>
  </si>
  <si>
    <t xml:space="preserve">% de Dias Treinados</t>
  </si>
  <si>
    <t xml:space="preserve">% de Dias com Proteína OK</t>
  </si>
  <si>
    <t xml:space="preserve">Média de Sono (h)</t>
  </si>
  <si>
    <t xml:space="preserve">Peso Dia 1 vs Dia 40</t>
  </si>
  <si>
    <t xml:space="preserve">Aderência Média Geral</t>
  </si>
  <si>
    <t xml:space="preserve">Refeição</t>
  </si>
  <si>
    <t xml:space="preserve">Componente</t>
  </si>
  <si>
    <t xml:space="preserve">Alimento</t>
  </si>
  <si>
    <t xml:space="preserve">Quantidade (g)</t>
  </si>
  <si>
    <t xml:space="preserve">Kcal</t>
  </si>
  <si>
    <t xml:space="preserve">Proteína (g)</t>
  </si>
  <si>
    <t xml:space="preserve">Carboidrato (g)</t>
  </si>
  <si>
    <t xml:space="preserve">Gordura (g)</t>
  </si>
  <si>
    <t xml:space="preserve">Categoria</t>
  </si>
  <si>
    <t xml:space="preserve">Kcal / 100g</t>
  </si>
  <si>
    <t xml:space="preserve">Proteína / 100g</t>
  </si>
  <si>
    <t xml:space="preserve">Carboidrato / 100g</t>
  </si>
  <si>
    <t xml:space="preserve">Gordura / 100g</t>
  </si>
  <si>
    <t xml:space="preserve">Café da Manhã</t>
  </si>
  <si>
    <t xml:space="preserve">Proteína</t>
  </si>
  <si>
    <t xml:space="preserve">Ovos</t>
  </si>
  <si>
    <t xml:space="preserve">Frango (peito)</t>
  </si>
  <si>
    <t xml:space="preserve">Base</t>
  </si>
  <si>
    <t xml:space="preserve">Aveia</t>
  </si>
  <si>
    <t xml:space="preserve">Iogurte Grego</t>
  </si>
  <si>
    <t xml:space="preserve">Carne Moída Magra</t>
  </si>
  <si>
    <t xml:space="preserve">Tofu Firme</t>
  </si>
  <si>
    <t xml:space="preserve">Arroz Integral</t>
  </si>
  <si>
    <t xml:space="preserve">Batata Doce</t>
  </si>
  <si>
    <t xml:space="preserve">Pão Integral</t>
  </si>
  <si>
    <t xml:space="preserve">Brócolis</t>
  </si>
  <si>
    <t xml:space="preserve">Vegetal</t>
  </si>
  <si>
    <t xml:space="preserve">Cenoura</t>
  </si>
  <si>
    <t xml:space="preserve">Espinafre</t>
  </si>
  <si>
    <t xml:space="preserve">Azeite Extra Virgem</t>
  </si>
  <si>
    <t xml:space="preserve">Extra</t>
  </si>
  <si>
    <t xml:space="preserve">Abacate</t>
  </si>
  <si>
    <t xml:space="preserve">Castanhas</t>
  </si>
  <si>
    <t xml:space="preserve">TOTAL DO DIA</t>
  </si>
  <si>
    <t xml:space="preserve">Meta do Dia (ENGINE)</t>
  </si>
  <si>
    <t xml:space="preserve">Diferença</t>
  </si>
  <si>
    <t xml:space="preserve">Nota: para o dropdown de Alimento (coluna C) mostrar apenas os itens da categoria escolhida em B, use no Google Sheets: =FILTER($M$2:$M$17;$N$2:$N$17=B2) como origem da validação de dados.</t>
  </si>
  <si>
    <t xml:space="preserve">Semana</t>
  </si>
  <si>
    <t xml:space="preserve">Dia de Treino</t>
  </si>
  <si>
    <t xml:space="preserve">Exercício</t>
  </si>
  <si>
    <t xml:space="preserve">Séries</t>
  </si>
  <si>
    <t xml:space="preserve">Repetições</t>
  </si>
  <si>
    <t xml:space="preserve">Carga (kg)</t>
  </si>
  <si>
    <t xml:space="preserve">Percepção de Esforço (1-10)</t>
  </si>
  <si>
    <t xml:space="preserve">Volume Total (kg)</t>
  </si>
  <si>
    <t xml:space="preserve">Evolução vs. Semana Anterior</t>
  </si>
  <si>
    <t xml:space="preserve">Vol. Semana Anterior (aux)</t>
  </si>
  <si>
    <t xml:space="preserve">Segunda</t>
  </si>
  <si>
    <t xml:space="preserve">Agachamento</t>
  </si>
  <si>
    <t xml:space="preserve">Recomendação prática do blueprint: para visualizar a progressão de carga sem depender de fórmulas linha a linha, monte também uma Tabela Dinâmica em aba auxiliar (Exercício nas linhas, Semana nas colunas, Soma de Volume Total (kg) como valor).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</si>
</sst>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"/>
    <numFmt numFmtId="167" formatCode="0.0"/>
    <numFmt numFmtId="168" formatCode="General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AFAFA"/>
      <name val="Montserrat"/>
      <family val="0"/>
      <charset val="1"/>
    </font>
    <font>
      <sz val="10"/>
      <color rgb="FFFAFAFA"/>
      <name val="Calibri"/>
      <family val="0"/>
      <charset val="1"/>
    </font>
    <font>
      <i val="true"/>
      <sz val="10"/>
      <color rgb="FF246A73"/>
      <name val="Calibri"/>
      <family val="0"/>
      <charset val="1"/>
    </font>
    <font>
      <b val="true"/>
      <sz val="13"/>
      <color rgb="FF368F8B"/>
      <name val="Montserrat"/>
      <family val="0"/>
      <charset val="1"/>
    </font>
    <font>
      <b val="true"/>
      <sz val="10"/>
      <color rgb="FFFAFAFA"/>
      <name val="Calibri"/>
      <family val="0"/>
      <charset val="1"/>
    </font>
    <font>
      <b val="true"/>
      <sz val="10"/>
      <color rgb="FFE0A458"/>
      <name val="Calibri"/>
      <family val="0"/>
      <charset val="1"/>
    </font>
    <font>
      <i val="true"/>
      <sz val="9"/>
      <color rgb="FF246A73"/>
      <name val="Calibri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D0D0D"/>
      </patternFill>
    </fill>
    <fill>
      <patternFill patternType="solid">
        <fgColor rgb="FF368F8B"/>
        <bgColor rgb="FF246A73"/>
      </patternFill>
    </fill>
    <fill>
      <patternFill patternType="solid">
        <fgColor rgb="FF0D0D0D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46A73"/>
      </left>
      <right style="thin">
        <color rgb="FF246A73"/>
      </right>
      <top style="thin">
        <color rgb="FF246A73"/>
      </top>
      <bottom style="thin">
        <color rgb="FF246A7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FAFAFA"/>
      </font>
      <fill>
        <patternFill>
          <bgColor rgb="FF8C2F1B"/>
        </patternFill>
      </fill>
    </dxf>
    <dxf>
      <font>
        <color rgb="FFFAFAFA"/>
      </font>
      <fill>
        <patternFill>
          <bgColor rgb="FF1F4E4C"/>
        </patternFill>
      </fill>
    </dxf>
    <dxf>
      <font>
        <color rgb="FFFAFAFA"/>
      </font>
      <fill>
        <patternFill>
          <bgColor rgb="FF8C2F1B"/>
        </patternFill>
      </fill>
    </dxf>
  </dxfs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6A7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458"/>
      <rgbColor rgb="FFFF6600"/>
      <rgbColor rgb="FF666699"/>
      <rgbColor rgb="FF969696"/>
      <rgbColor rgb="FF003366"/>
      <rgbColor rgb="FF368F8B"/>
      <rgbColor rgb="FF0D0D0D"/>
      <rgbColor rgb="FF333300"/>
      <rgbColor rgb="FF8C2F1B"/>
      <rgbColor rgb="FF993366"/>
      <rgbColor rgb="FF333399"/>
      <rgbColor rgb="FF1F4E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2"/>
      <c r="F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  <c r="F2" s="2"/>
    </row>
    <row r="3" customFormat="false" ht="31.3" hidden="false" customHeight="false" outlineLevel="0" collapsed="false">
      <c r="A3" s="4" t="s">
        <v>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5" t="s">
        <v>3</v>
      </c>
      <c r="E4" s="5" t="s">
        <v>4</v>
      </c>
      <c r="F4" s="2"/>
    </row>
    <row r="5" customFormat="false" ht="15" hidden="false" customHeight="false" outlineLevel="0" collapsed="false">
      <c r="A5" s="6" t="s">
        <v>5</v>
      </c>
      <c r="B5" s="7" t="n">
        <v>78</v>
      </c>
      <c r="C5" s="2"/>
      <c r="D5" s="8" t="s">
        <v>6</v>
      </c>
      <c r="E5" s="9" t="n">
        <v>1.2</v>
      </c>
      <c r="F5" s="2"/>
    </row>
    <row r="6" customFormat="false" ht="15" hidden="false" customHeight="false" outlineLevel="0" collapsed="false">
      <c r="A6" s="6" t="s">
        <v>7</v>
      </c>
      <c r="B6" s="7" t="n">
        <v>175</v>
      </c>
      <c r="C6" s="2"/>
      <c r="D6" s="8" t="s">
        <v>8</v>
      </c>
      <c r="E6" s="9" t="n">
        <v>1.375</v>
      </c>
      <c r="F6" s="2"/>
    </row>
    <row r="7" customFormat="false" ht="15" hidden="false" customHeight="false" outlineLevel="0" collapsed="false">
      <c r="A7" s="6" t="s">
        <v>9</v>
      </c>
      <c r="B7" s="7" t="n">
        <v>32</v>
      </c>
      <c r="C7" s="2"/>
      <c r="D7" s="8" t="s">
        <v>10</v>
      </c>
      <c r="E7" s="9" t="n">
        <v>1.55</v>
      </c>
      <c r="F7" s="2"/>
    </row>
    <row r="8" customFormat="false" ht="15" hidden="false" customHeight="false" outlineLevel="0" collapsed="false">
      <c r="A8" s="6" t="s">
        <v>11</v>
      </c>
      <c r="B8" s="7" t="s">
        <v>12</v>
      </c>
      <c r="C8" s="2"/>
      <c r="D8" s="8" t="s">
        <v>13</v>
      </c>
      <c r="E8" s="9" t="n">
        <v>1.725</v>
      </c>
      <c r="F8" s="2"/>
    </row>
    <row r="9" customFormat="false" ht="23.85" hidden="false" customHeight="false" outlineLevel="0" collapsed="false">
      <c r="A9" s="6" t="s">
        <v>14</v>
      </c>
      <c r="B9" s="7" t="s">
        <v>10</v>
      </c>
      <c r="C9" s="10" t="n">
        <f aca="false">IFERROR(VLOOKUP(B9,D5:E9,2,0),"")</f>
        <v>1.55</v>
      </c>
      <c r="D9" s="8" t="s">
        <v>15</v>
      </c>
      <c r="E9" s="9" t="n">
        <v>1.9</v>
      </c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31.3" hidden="false" customHeight="false" outlineLevel="0" collapsed="false">
      <c r="A12" s="4" t="s">
        <v>16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6" t="s">
        <v>17</v>
      </c>
      <c r="B13" s="11" t="n">
        <f aca="false">IFERROR(IF(B8="Masculino",(10*B5)+(6.25*B6)-(5*B7)+5,(10*B5)+(6.25*B6)-(5*B7)-161),"")</f>
        <v>1718.75</v>
      </c>
      <c r="C13" s="2"/>
      <c r="D13" s="2"/>
      <c r="E13" s="2"/>
      <c r="F13" s="2"/>
    </row>
    <row r="14" customFormat="false" ht="15" hidden="false" customHeight="false" outlineLevel="0" collapsed="false">
      <c r="A14" s="6" t="s">
        <v>18</v>
      </c>
      <c r="B14" s="11" t="n">
        <f aca="false">IFERROR(B13*C9,"")</f>
        <v>2664.0625</v>
      </c>
      <c r="C14" s="2"/>
      <c r="D14" s="2"/>
      <c r="E14" s="2"/>
      <c r="F14" s="2"/>
    </row>
    <row r="15" customFormat="false" ht="15" hidden="false" customHeight="false" outlineLevel="0" collapsed="false">
      <c r="A15" s="6" t="s">
        <v>19</v>
      </c>
      <c r="B15" s="11" t="n">
        <f aca="false">IFERROR(B14-400,"")</f>
        <v>2264.0625</v>
      </c>
      <c r="C15" s="2"/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31.3" hidden="false" customHeight="false" outlineLevel="0" collapsed="false">
      <c r="A18" s="4" t="s">
        <v>20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6" t="s">
        <v>21</v>
      </c>
      <c r="B19" s="11" t="n">
        <f aca="false">IFERROR(2*B5,"")</f>
        <v>156</v>
      </c>
      <c r="C19" s="6" t="s">
        <v>22</v>
      </c>
      <c r="D19" s="11" t="n">
        <f aca="false">IFERROR(B19*4,"")</f>
        <v>624</v>
      </c>
      <c r="E19" s="2"/>
      <c r="F19" s="2"/>
    </row>
    <row r="20" customFormat="false" ht="15" hidden="false" customHeight="false" outlineLevel="0" collapsed="false">
      <c r="A20" s="6" t="s">
        <v>23</v>
      </c>
      <c r="B20" s="11" t="n">
        <f aca="false">IFERROR(1*B5,"")</f>
        <v>78</v>
      </c>
      <c r="C20" s="6" t="s">
        <v>24</v>
      </c>
      <c r="D20" s="11" t="n">
        <f aca="false">IFERROR(B20*9,"")</f>
        <v>702</v>
      </c>
      <c r="E20" s="2"/>
      <c r="F20" s="2"/>
    </row>
    <row r="21" customFormat="false" ht="15" hidden="false" customHeight="false" outlineLevel="0" collapsed="false">
      <c r="A21" s="6" t="s">
        <v>25</v>
      </c>
      <c r="B21" s="11" t="n">
        <f aca="false">IFERROR(D21/4,"")</f>
        <v>234.515625</v>
      </c>
      <c r="C21" s="6" t="s">
        <v>26</v>
      </c>
      <c r="D21" s="11" t="n">
        <f aca="false">IFERROR(B15-D19-D20,"")</f>
        <v>938.0625</v>
      </c>
      <c r="E21" s="2"/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6.4" hidden="false" customHeight="false" outlineLevel="0" collapsed="false">
      <c r="A24" s="4" t="s">
        <v>27</v>
      </c>
      <c r="B24" s="2"/>
      <c r="C24" s="2"/>
      <c r="D24" s="2"/>
      <c r="E24" s="2"/>
      <c r="F24" s="2"/>
    </row>
    <row r="25" customFormat="false" ht="15" hidden="false" customHeight="true" outlineLevel="0" collapsed="false">
      <c r="A25" s="12" t="s">
        <v>28</v>
      </c>
      <c r="B25" s="12"/>
      <c r="C25" s="12"/>
      <c r="D25" s="12"/>
      <c r="E25" s="2"/>
      <c r="F25" s="2"/>
    </row>
    <row r="26" customFormat="false" ht="15" hidden="false" customHeight="false" outlineLevel="0" collapsed="false">
      <c r="A26" s="12"/>
      <c r="B26" s="12"/>
      <c r="C26" s="12"/>
      <c r="D26" s="12"/>
      <c r="E26" s="2"/>
      <c r="F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</row>
  </sheetData>
  <mergeCells count="3">
    <mergeCell ref="A1:D1"/>
    <mergeCell ref="A2:D2"/>
    <mergeCell ref="A25:D26"/>
  </mergeCells>
  <conditionalFormatting sqref="B15">
    <cfRule type="cellIs" priority="2" operator="lessThan" aboveAverage="0" equalAverage="0" bottom="0" percent="0" rank="0" text="" dxfId="0">
      <formula>1200</formula>
    </cfRule>
  </conditionalFormatting>
  <dataValidations count="2">
    <dataValidation allowBlank="false" errorStyle="stop" operator="between" showDropDown="false" showErrorMessage="false" showInputMessage="false" sqref="B8" type="list">
      <formula1>"Masculino,Feminino"</formula1>
      <formula2>0</formula2>
    </dataValidation>
    <dataValidation allowBlank="false" errorStyle="stop" operator="between" showDropDown="false" showErrorMessage="false" showInputMessage="false" sqref="B9" type="list">
      <formula1>$D$5:$D$9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8" min="6" style="0" width="1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2"/>
    </row>
    <row r="2" customFormat="false" ht="15" hidden="false" customHeight="false" outlineLevel="0" collapsed="false">
      <c r="A2" s="13" t="n">
        <v>1</v>
      </c>
      <c r="B2" s="14" t="str">
        <f aca="false">IF(A2&lt;=10,"Fase 1 – Linha de Base",IF(A2&lt;=20,"Fase 2 – Estruturação",IF(A2&lt;=35,"Fase 3 – Execução Física","Fase 4 – Consolidação")))</f>
        <v>Fase 1 – Linha de Base</v>
      </c>
      <c r="C2" s="15" t="n">
        <v>78</v>
      </c>
      <c r="D2" s="16" t="n">
        <v>2200</v>
      </c>
      <c r="E2" s="7" t="s">
        <v>38</v>
      </c>
      <c r="F2" s="15" t="n">
        <v>2.5</v>
      </c>
      <c r="G2" s="15" t="n">
        <v>7.5</v>
      </c>
      <c r="H2" s="7" t="s">
        <v>38</v>
      </c>
      <c r="I2" s="17" t="n">
        <f aca="false">(IF(E2="Sim",1,0))+(IF(H2="Sim",1,0))+(IF(F2&gt;=2,1,0))+(IF(G2&gt;=7,1,0))</f>
        <v>4</v>
      </c>
      <c r="J2" s="2"/>
    </row>
    <row r="3" customFormat="false" ht="15" hidden="false" customHeight="false" outlineLevel="0" collapsed="false">
      <c r="A3" s="13" t="n">
        <v>2</v>
      </c>
      <c r="B3" s="14" t="str">
        <f aca="false">IF(A3&lt;=10,"Fase 1 – Linha de Base",IF(A3&lt;=20,"Fase 2 – Estruturação",IF(A3&lt;=35,"Fase 3 – Execução Física","Fase 4 – Consolidação")))</f>
        <v>Fase 1 – Linha de Base</v>
      </c>
      <c r="C3" s="15"/>
      <c r="D3" s="16"/>
      <c r="E3" s="7"/>
      <c r="F3" s="15"/>
      <c r="G3" s="15"/>
      <c r="H3" s="7"/>
      <c r="I3" s="17" t="n">
        <f aca="false">(IF(E3="Sim",1,0))+(IF(H3="Sim",1,0))+(IF(F3&gt;=2,1,0))+(IF(G3&gt;=7,1,0))</f>
        <v>0</v>
      </c>
      <c r="J3" s="2"/>
    </row>
    <row r="4" customFormat="false" ht="15" hidden="false" customHeight="false" outlineLevel="0" collapsed="false">
      <c r="A4" s="13" t="n">
        <v>3</v>
      </c>
      <c r="B4" s="14" t="str">
        <f aca="false">IF(A4&lt;=10,"Fase 1 – Linha de Base",IF(A4&lt;=20,"Fase 2 – Estruturação",IF(A4&lt;=35,"Fase 3 – Execução Física","Fase 4 – Consolidação")))</f>
        <v>Fase 1 – Linha de Base</v>
      </c>
      <c r="C4" s="15"/>
      <c r="D4" s="16"/>
      <c r="E4" s="7"/>
      <c r="F4" s="15"/>
      <c r="G4" s="15"/>
      <c r="H4" s="7"/>
      <c r="I4" s="17" t="n">
        <f aca="false">(IF(E4="Sim",1,0))+(IF(H4="Sim",1,0))+(IF(F4&gt;=2,1,0))+(IF(G4&gt;=7,1,0))</f>
        <v>0</v>
      </c>
      <c r="J4" s="2"/>
    </row>
    <row r="5" customFormat="false" ht="15" hidden="false" customHeight="false" outlineLevel="0" collapsed="false">
      <c r="A5" s="13" t="n">
        <v>4</v>
      </c>
      <c r="B5" s="14" t="str">
        <f aca="false">IF(A5&lt;=10,"Fase 1 – Linha de Base",IF(A5&lt;=20,"Fase 2 – Estruturação",IF(A5&lt;=35,"Fase 3 – Execução Física","Fase 4 – Consolidação")))</f>
        <v>Fase 1 – Linha de Base</v>
      </c>
      <c r="C5" s="15"/>
      <c r="D5" s="16"/>
      <c r="E5" s="7"/>
      <c r="F5" s="15"/>
      <c r="G5" s="15"/>
      <c r="H5" s="7"/>
      <c r="I5" s="17" t="n">
        <f aca="false">(IF(E5="Sim",1,0))+(IF(H5="Sim",1,0))+(IF(F5&gt;=2,1,0))+(IF(G5&gt;=7,1,0))</f>
        <v>0</v>
      </c>
      <c r="J5" s="2"/>
    </row>
    <row r="6" customFormat="false" ht="15" hidden="false" customHeight="false" outlineLevel="0" collapsed="false">
      <c r="A6" s="13" t="n">
        <v>5</v>
      </c>
      <c r="B6" s="14" t="str">
        <f aca="false">IF(A6&lt;=10,"Fase 1 – Linha de Base",IF(A6&lt;=20,"Fase 2 – Estruturação",IF(A6&lt;=35,"Fase 3 – Execução Física","Fase 4 – Consolidação")))</f>
        <v>Fase 1 – Linha de Base</v>
      </c>
      <c r="C6" s="15"/>
      <c r="D6" s="16"/>
      <c r="E6" s="7"/>
      <c r="F6" s="15"/>
      <c r="G6" s="15"/>
      <c r="H6" s="7"/>
      <c r="I6" s="17" t="n">
        <f aca="false">(IF(E6="Sim",1,0))+(IF(H6="Sim",1,0))+(IF(F6&gt;=2,1,0))+(IF(G6&gt;=7,1,0))</f>
        <v>0</v>
      </c>
      <c r="J6" s="2"/>
    </row>
    <row r="7" customFormat="false" ht="15" hidden="false" customHeight="false" outlineLevel="0" collapsed="false">
      <c r="A7" s="13" t="n">
        <v>6</v>
      </c>
      <c r="B7" s="14" t="str">
        <f aca="false">IF(A7&lt;=10,"Fase 1 – Linha de Base",IF(A7&lt;=20,"Fase 2 – Estruturação",IF(A7&lt;=35,"Fase 3 – Execução Física","Fase 4 – Consolidação")))</f>
        <v>Fase 1 – Linha de Base</v>
      </c>
      <c r="C7" s="15"/>
      <c r="D7" s="16"/>
      <c r="E7" s="7"/>
      <c r="F7" s="15"/>
      <c r="G7" s="15"/>
      <c r="H7" s="7"/>
      <c r="I7" s="17" t="n">
        <f aca="false">(IF(E7="Sim",1,0))+(IF(H7="Sim",1,0))+(IF(F7&gt;=2,1,0))+(IF(G7&gt;=7,1,0))</f>
        <v>0</v>
      </c>
      <c r="J7" s="2"/>
    </row>
    <row r="8" customFormat="false" ht="15" hidden="false" customHeight="false" outlineLevel="0" collapsed="false">
      <c r="A8" s="13" t="n">
        <v>7</v>
      </c>
      <c r="B8" s="14" t="str">
        <f aca="false">IF(A8&lt;=10,"Fase 1 – Linha de Base",IF(A8&lt;=20,"Fase 2 – Estruturação",IF(A8&lt;=35,"Fase 3 – Execução Física","Fase 4 – Consolidação")))</f>
        <v>Fase 1 – Linha de Base</v>
      </c>
      <c r="C8" s="15"/>
      <c r="D8" s="16"/>
      <c r="E8" s="7"/>
      <c r="F8" s="15"/>
      <c r="G8" s="15"/>
      <c r="H8" s="7"/>
      <c r="I8" s="17" t="n">
        <f aca="false">(IF(E8="Sim",1,0))+(IF(H8="Sim",1,0))+(IF(F8&gt;=2,1,0))+(IF(G8&gt;=7,1,0))</f>
        <v>0</v>
      </c>
      <c r="J8" s="2"/>
    </row>
    <row r="9" customFormat="false" ht="15" hidden="false" customHeight="false" outlineLevel="0" collapsed="false">
      <c r="A9" s="13" t="n">
        <v>8</v>
      </c>
      <c r="B9" s="14" t="str">
        <f aca="false">IF(A9&lt;=10,"Fase 1 – Linha de Base",IF(A9&lt;=20,"Fase 2 – Estruturação",IF(A9&lt;=35,"Fase 3 – Execução Física","Fase 4 – Consolidação")))</f>
        <v>Fase 1 – Linha de Base</v>
      </c>
      <c r="C9" s="15"/>
      <c r="D9" s="16"/>
      <c r="E9" s="7"/>
      <c r="F9" s="15"/>
      <c r="G9" s="15"/>
      <c r="H9" s="7"/>
      <c r="I9" s="17" t="n">
        <f aca="false">(IF(E9="Sim",1,0))+(IF(H9="Sim",1,0))+(IF(F9&gt;=2,1,0))+(IF(G9&gt;=7,1,0))</f>
        <v>0</v>
      </c>
      <c r="J9" s="2"/>
    </row>
    <row r="10" customFormat="false" ht="15" hidden="false" customHeight="false" outlineLevel="0" collapsed="false">
      <c r="A10" s="13" t="n">
        <v>9</v>
      </c>
      <c r="B10" s="14" t="str">
        <f aca="false">IF(A10&lt;=10,"Fase 1 – Linha de Base",IF(A10&lt;=20,"Fase 2 – Estruturação",IF(A10&lt;=35,"Fase 3 – Execução Física","Fase 4 – Consolidação")))</f>
        <v>Fase 1 – Linha de Base</v>
      </c>
      <c r="C10" s="15"/>
      <c r="D10" s="16"/>
      <c r="E10" s="7"/>
      <c r="F10" s="15"/>
      <c r="G10" s="15"/>
      <c r="H10" s="7"/>
      <c r="I10" s="17" t="n">
        <f aca="false">(IF(E10="Sim",1,0))+(IF(H10="Sim",1,0))+(IF(F10&gt;=2,1,0))+(IF(G10&gt;=7,1,0))</f>
        <v>0</v>
      </c>
      <c r="J10" s="2"/>
    </row>
    <row r="11" customFormat="false" ht="15" hidden="false" customHeight="false" outlineLevel="0" collapsed="false">
      <c r="A11" s="13" t="n">
        <v>10</v>
      </c>
      <c r="B11" s="14" t="str">
        <f aca="false">IF(A11&lt;=10,"Fase 1 – Linha de Base",IF(A11&lt;=20,"Fase 2 – Estruturação",IF(A11&lt;=35,"Fase 3 – Execução Física","Fase 4 – Consolidação")))</f>
        <v>Fase 1 – Linha de Base</v>
      </c>
      <c r="C11" s="15"/>
      <c r="D11" s="16"/>
      <c r="E11" s="7"/>
      <c r="F11" s="15"/>
      <c r="G11" s="15"/>
      <c r="H11" s="7"/>
      <c r="I11" s="17" t="n">
        <f aca="false">(IF(E11="Sim",1,0))+(IF(H11="Sim",1,0))+(IF(F11&gt;=2,1,0))+(IF(G11&gt;=7,1,0))</f>
        <v>0</v>
      </c>
      <c r="J11" s="2"/>
    </row>
    <row r="12" customFormat="false" ht="15" hidden="false" customHeight="false" outlineLevel="0" collapsed="false">
      <c r="A12" s="13" t="n">
        <v>11</v>
      </c>
      <c r="B12" s="14" t="str">
        <f aca="false">IF(A12&lt;=10,"Fase 1 – Linha de Base",IF(A12&lt;=20,"Fase 2 – Estruturação",IF(A12&lt;=35,"Fase 3 – Execução Física","Fase 4 – Consolidação")))</f>
        <v>Fase 2 – Estruturação</v>
      </c>
      <c r="C12" s="15"/>
      <c r="D12" s="16"/>
      <c r="E12" s="7"/>
      <c r="F12" s="15"/>
      <c r="G12" s="15"/>
      <c r="H12" s="7"/>
      <c r="I12" s="17" t="n">
        <f aca="false">(IF(E12="Sim",1,0))+(IF(H12="Sim",1,0))+(IF(F12&gt;=2,1,0))+(IF(G12&gt;=7,1,0))</f>
        <v>0</v>
      </c>
      <c r="J12" s="2"/>
    </row>
    <row r="13" customFormat="false" ht="15" hidden="false" customHeight="false" outlineLevel="0" collapsed="false">
      <c r="A13" s="13" t="n">
        <v>12</v>
      </c>
      <c r="B13" s="14" t="str">
        <f aca="false">IF(A13&lt;=10,"Fase 1 – Linha de Base",IF(A13&lt;=20,"Fase 2 – Estruturação",IF(A13&lt;=35,"Fase 3 – Execução Física","Fase 4 – Consolidação")))</f>
        <v>Fase 2 – Estruturação</v>
      </c>
      <c r="C13" s="15"/>
      <c r="D13" s="16"/>
      <c r="E13" s="7"/>
      <c r="F13" s="15"/>
      <c r="G13" s="15"/>
      <c r="H13" s="7"/>
      <c r="I13" s="17" t="n">
        <f aca="false">(IF(E13="Sim",1,0))+(IF(H13="Sim",1,0))+(IF(F13&gt;=2,1,0))+(IF(G13&gt;=7,1,0))</f>
        <v>0</v>
      </c>
      <c r="J13" s="2"/>
    </row>
    <row r="14" customFormat="false" ht="15" hidden="false" customHeight="false" outlineLevel="0" collapsed="false">
      <c r="A14" s="13" t="n">
        <v>13</v>
      </c>
      <c r="B14" s="14" t="str">
        <f aca="false">IF(A14&lt;=10,"Fase 1 – Linha de Base",IF(A14&lt;=20,"Fase 2 – Estruturação",IF(A14&lt;=35,"Fase 3 – Execução Física","Fase 4 – Consolidação")))</f>
        <v>Fase 2 – Estruturação</v>
      </c>
      <c r="C14" s="15"/>
      <c r="D14" s="16"/>
      <c r="E14" s="7"/>
      <c r="F14" s="15"/>
      <c r="G14" s="15"/>
      <c r="H14" s="7"/>
      <c r="I14" s="17" t="n">
        <f aca="false">(IF(E14="Sim",1,0))+(IF(H14="Sim",1,0))+(IF(F14&gt;=2,1,0))+(IF(G14&gt;=7,1,0))</f>
        <v>0</v>
      </c>
      <c r="J14" s="2"/>
    </row>
    <row r="15" customFormat="false" ht="15" hidden="false" customHeight="false" outlineLevel="0" collapsed="false">
      <c r="A15" s="13" t="n">
        <v>14</v>
      </c>
      <c r="B15" s="14" t="str">
        <f aca="false">IF(A15&lt;=10,"Fase 1 – Linha de Base",IF(A15&lt;=20,"Fase 2 – Estruturação",IF(A15&lt;=35,"Fase 3 – Execução Física","Fase 4 – Consolidação")))</f>
        <v>Fase 2 – Estruturação</v>
      </c>
      <c r="C15" s="15"/>
      <c r="D15" s="16"/>
      <c r="E15" s="7"/>
      <c r="F15" s="15"/>
      <c r="G15" s="15"/>
      <c r="H15" s="7"/>
      <c r="I15" s="17" t="n">
        <f aca="false">(IF(E15="Sim",1,0))+(IF(H15="Sim",1,0))+(IF(F15&gt;=2,1,0))+(IF(G15&gt;=7,1,0))</f>
        <v>0</v>
      </c>
      <c r="J15" s="2"/>
    </row>
    <row r="16" customFormat="false" ht="15" hidden="false" customHeight="false" outlineLevel="0" collapsed="false">
      <c r="A16" s="13" t="n">
        <v>15</v>
      </c>
      <c r="B16" s="14" t="str">
        <f aca="false">IF(A16&lt;=10,"Fase 1 – Linha de Base",IF(A16&lt;=20,"Fase 2 – Estruturação",IF(A16&lt;=35,"Fase 3 – Execução Física","Fase 4 – Consolidação")))</f>
        <v>Fase 2 – Estruturação</v>
      </c>
      <c r="C16" s="15"/>
      <c r="D16" s="16"/>
      <c r="E16" s="7"/>
      <c r="F16" s="15"/>
      <c r="G16" s="15"/>
      <c r="H16" s="7"/>
      <c r="I16" s="17" t="n">
        <f aca="false">(IF(E16="Sim",1,0))+(IF(H16="Sim",1,0))+(IF(F16&gt;=2,1,0))+(IF(G16&gt;=7,1,0))</f>
        <v>0</v>
      </c>
      <c r="J16" s="2"/>
    </row>
    <row r="17" customFormat="false" ht="15" hidden="false" customHeight="false" outlineLevel="0" collapsed="false">
      <c r="A17" s="13" t="n">
        <v>16</v>
      </c>
      <c r="B17" s="14" t="str">
        <f aca="false">IF(A17&lt;=10,"Fase 1 – Linha de Base",IF(A17&lt;=20,"Fase 2 – Estruturação",IF(A17&lt;=35,"Fase 3 – Execução Física","Fase 4 – Consolidação")))</f>
        <v>Fase 2 – Estruturação</v>
      </c>
      <c r="C17" s="15"/>
      <c r="D17" s="16"/>
      <c r="E17" s="7"/>
      <c r="F17" s="15"/>
      <c r="G17" s="15"/>
      <c r="H17" s="7"/>
      <c r="I17" s="17" t="n">
        <f aca="false">(IF(E17="Sim",1,0))+(IF(H17="Sim",1,0))+(IF(F17&gt;=2,1,0))+(IF(G17&gt;=7,1,0))</f>
        <v>0</v>
      </c>
      <c r="J17" s="2"/>
    </row>
    <row r="18" customFormat="false" ht="15" hidden="false" customHeight="false" outlineLevel="0" collapsed="false">
      <c r="A18" s="13" t="n">
        <v>17</v>
      </c>
      <c r="B18" s="14" t="str">
        <f aca="false">IF(A18&lt;=10,"Fase 1 – Linha de Base",IF(A18&lt;=20,"Fase 2 – Estruturação",IF(A18&lt;=35,"Fase 3 – Execução Física","Fase 4 – Consolidação")))</f>
        <v>Fase 2 – Estruturação</v>
      </c>
      <c r="C18" s="15"/>
      <c r="D18" s="16"/>
      <c r="E18" s="7"/>
      <c r="F18" s="15"/>
      <c r="G18" s="15"/>
      <c r="H18" s="7"/>
      <c r="I18" s="17" t="n">
        <f aca="false">(IF(E18="Sim",1,0))+(IF(H18="Sim",1,0))+(IF(F18&gt;=2,1,0))+(IF(G18&gt;=7,1,0))</f>
        <v>0</v>
      </c>
      <c r="J18" s="2"/>
    </row>
    <row r="19" customFormat="false" ht="15" hidden="false" customHeight="false" outlineLevel="0" collapsed="false">
      <c r="A19" s="13" t="n">
        <v>18</v>
      </c>
      <c r="B19" s="14" t="str">
        <f aca="false">IF(A19&lt;=10,"Fase 1 – Linha de Base",IF(A19&lt;=20,"Fase 2 – Estruturação",IF(A19&lt;=35,"Fase 3 – Execução Física","Fase 4 – Consolidação")))</f>
        <v>Fase 2 – Estruturação</v>
      </c>
      <c r="C19" s="15"/>
      <c r="D19" s="16"/>
      <c r="E19" s="7"/>
      <c r="F19" s="15"/>
      <c r="G19" s="15"/>
      <c r="H19" s="7"/>
      <c r="I19" s="17" t="n">
        <f aca="false">(IF(E19="Sim",1,0))+(IF(H19="Sim",1,0))+(IF(F19&gt;=2,1,0))+(IF(G19&gt;=7,1,0))</f>
        <v>0</v>
      </c>
      <c r="J19" s="2"/>
    </row>
    <row r="20" customFormat="false" ht="15" hidden="false" customHeight="false" outlineLevel="0" collapsed="false">
      <c r="A20" s="13" t="n">
        <v>19</v>
      </c>
      <c r="B20" s="14" t="str">
        <f aca="false">IF(A20&lt;=10,"Fase 1 – Linha de Base",IF(A20&lt;=20,"Fase 2 – Estruturação",IF(A20&lt;=35,"Fase 3 – Execução Física","Fase 4 – Consolidação")))</f>
        <v>Fase 2 – Estruturação</v>
      </c>
      <c r="C20" s="15"/>
      <c r="D20" s="16"/>
      <c r="E20" s="7"/>
      <c r="F20" s="15"/>
      <c r="G20" s="15"/>
      <c r="H20" s="7"/>
      <c r="I20" s="17" t="n">
        <f aca="false">(IF(E20="Sim",1,0))+(IF(H20="Sim",1,0))+(IF(F20&gt;=2,1,0))+(IF(G20&gt;=7,1,0))</f>
        <v>0</v>
      </c>
      <c r="J20" s="2"/>
    </row>
    <row r="21" customFormat="false" ht="15" hidden="false" customHeight="false" outlineLevel="0" collapsed="false">
      <c r="A21" s="13" t="n">
        <v>20</v>
      </c>
      <c r="B21" s="14" t="str">
        <f aca="false">IF(A21&lt;=10,"Fase 1 – Linha de Base",IF(A21&lt;=20,"Fase 2 – Estruturação",IF(A21&lt;=35,"Fase 3 – Execução Física","Fase 4 – Consolidação")))</f>
        <v>Fase 2 – Estruturação</v>
      </c>
      <c r="C21" s="15"/>
      <c r="D21" s="16"/>
      <c r="E21" s="7"/>
      <c r="F21" s="15"/>
      <c r="G21" s="15"/>
      <c r="H21" s="7"/>
      <c r="I21" s="17" t="n">
        <f aca="false">(IF(E21="Sim",1,0))+(IF(H21="Sim",1,0))+(IF(F21&gt;=2,1,0))+(IF(G21&gt;=7,1,0))</f>
        <v>0</v>
      </c>
      <c r="J21" s="2"/>
    </row>
    <row r="22" customFormat="false" ht="15" hidden="false" customHeight="false" outlineLevel="0" collapsed="false">
      <c r="A22" s="13" t="n">
        <v>21</v>
      </c>
      <c r="B22" s="14" t="str">
        <f aca="false">IF(A22&lt;=10,"Fase 1 – Linha de Base",IF(A22&lt;=20,"Fase 2 – Estruturação",IF(A22&lt;=35,"Fase 3 – Execução Física","Fase 4 – Consolidação")))</f>
        <v>Fase 3 – Execução Física</v>
      </c>
      <c r="C22" s="15"/>
      <c r="D22" s="16"/>
      <c r="E22" s="7"/>
      <c r="F22" s="15"/>
      <c r="G22" s="15"/>
      <c r="H22" s="7"/>
      <c r="I22" s="17" t="n">
        <f aca="false">(IF(E22="Sim",1,0))+(IF(H22="Sim",1,0))+(IF(F22&gt;=2,1,0))+(IF(G22&gt;=7,1,0))</f>
        <v>0</v>
      </c>
      <c r="J22" s="2"/>
    </row>
    <row r="23" customFormat="false" ht="15" hidden="false" customHeight="false" outlineLevel="0" collapsed="false">
      <c r="A23" s="13" t="n">
        <v>22</v>
      </c>
      <c r="B23" s="14" t="str">
        <f aca="false">IF(A23&lt;=10,"Fase 1 – Linha de Base",IF(A23&lt;=20,"Fase 2 – Estruturação",IF(A23&lt;=35,"Fase 3 – Execução Física","Fase 4 – Consolidação")))</f>
        <v>Fase 3 – Execução Física</v>
      </c>
      <c r="C23" s="15"/>
      <c r="D23" s="16"/>
      <c r="E23" s="7"/>
      <c r="F23" s="15"/>
      <c r="G23" s="15"/>
      <c r="H23" s="7"/>
      <c r="I23" s="17" t="n">
        <f aca="false">(IF(E23="Sim",1,0))+(IF(H23="Sim",1,0))+(IF(F23&gt;=2,1,0))+(IF(G23&gt;=7,1,0))</f>
        <v>0</v>
      </c>
      <c r="J23" s="2"/>
    </row>
    <row r="24" customFormat="false" ht="15" hidden="false" customHeight="false" outlineLevel="0" collapsed="false">
      <c r="A24" s="13" t="n">
        <v>23</v>
      </c>
      <c r="B24" s="14" t="str">
        <f aca="false">IF(A24&lt;=10,"Fase 1 – Linha de Base",IF(A24&lt;=20,"Fase 2 – Estruturação",IF(A24&lt;=35,"Fase 3 – Execução Física","Fase 4 – Consolidação")))</f>
        <v>Fase 3 – Execução Física</v>
      </c>
      <c r="C24" s="15"/>
      <c r="D24" s="16"/>
      <c r="E24" s="7"/>
      <c r="F24" s="15"/>
      <c r="G24" s="15"/>
      <c r="H24" s="7"/>
      <c r="I24" s="17" t="n">
        <f aca="false">(IF(E24="Sim",1,0))+(IF(H24="Sim",1,0))+(IF(F24&gt;=2,1,0))+(IF(G24&gt;=7,1,0))</f>
        <v>0</v>
      </c>
      <c r="J24" s="2"/>
    </row>
    <row r="25" customFormat="false" ht="15" hidden="false" customHeight="false" outlineLevel="0" collapsed="false">
      <c r="A25" s="13" t="n">
        <v>24</v>
      </c>
      <c r="B25" s="14" t="str">
        <f aca="false">IF(A25&lt;=10,"Fase 1 – Linha de Base",IF(A25&lt;=20,"Fase 2 – Estruturação",IF(A25&lt;=35,"Fase 3 – Execução Física","Fase 4 – Consolidação")))</f>
        <v>Fase 3 – Execução Física</v>
      </c>
      <c r="C25" s="15"/>
      <c r="D25" s="16"/>
      <c r="E25" s="7"/>
      <c r="F25" s="15"/>
      <c r="G25" s="15"/>
      <c r="H25" s="7"/>
      <c r="I25" s="17" t="n">
        <f aca="false">(IF(E25="Sim",1,0))+(IF(H25="Sim",1,0))+(IF(F25&gt;=2,1,0))+(IF(G25&gt;=7,1,0))</f>
        <v>0</v>
      </c>
      <c r="J25" s="2"/>
    </row>
    <row r="26" customFormat="false" ht="15" hidden="false" customHeight="false" outlineLevel="0" collapsed="false">
      <c r="A26" s="13" t="n">
        <v>25</v>
      </c>
      <c r="B26" s="14" t="str">
        <f aca="false">IF(A26&lt;=10,"Fase 1 – Linha de Base",IF(A26&lt;=20,"Fase 2 – Estruturação",IF(A26&lt;=35,"Fase 3 – Execução Física","Fase 4 – Consolidação")))</f>
        <v>Fase 3 – Execução Física</v>
      </c>
      <c r="C26" s="15"/>
      <c r="D26" s="16"/>
      <c r="E26" s="7"/>
      <c r="F26" s="15"/>
      <c r="G26" s="15"/>
      <c r="H26" s="7"/>
      <c r="I26" s="17" t="n">
        <f aca="false">(IF(E26="Sim",1,0))+(IF(H26="Sim",1,0))+(IF(F26&gt;=2,1,0))+(IF(G26&gt;=7,1,0))</f>
        <v>0</v>
      </c>
      <c r="J26" s="2"/>
    </row>
    <row r="27" customFormat="false" ht="15" hidden="false" customHeight="false" outlineLevel="0" collapsed="false">
      <c r="A27" s="13" t="n">
        <v>26</v>
      </c>
      <c r="B27" s="14" t="str">
        <f aca="false">IF(A27&lt;=10,"Fase 1 – Linha de Base",IF(A27&lt;=20,"Fase 2 – Estruturação",IF(A27&lt;=35,"Fase 3 – Execução Física","Fase 4 – Consolidação")))</f>
        <v>Fase 3 – Execução Física</v>
      </c>
      <c r="C27" s="15"/>
      <c r="D27" s="16"/>
      <c r="E27" s="7"/>
      <c r="F27" s="15"/>
      <c r="G27" s="15"/>
      <c r="H27" s="7"/>
      <c r="I27" s="17" t="n">
        <f aca="false">(IF(E27="Sim",1,0))+(IF(H27="Sim",1,0))+(IF(F27&gt;=2,1,0))+(IF(G27&gt;=7,1,0))</f>
        <v>0</v>
      </c>
      <c r="J27" s="2"/>
    </row>
    <row r="28" customFormat="false" ht="15" hidden="false" customHeight="false" outlineLevel="0" collapsed="false">
      <c r="A28" s="13" t="n">
        <v>27</v>
      </c>
      <c r="B28" s="14" t="str">
        <f aca="false">IF(A28&lt;=10,"Fase 1 – Linha de Base",IF(A28&lt;=20,"Fase 2 – Estruturação",IF(A28&lt;=35,"Fase 3 – Execução Física","Fase 4 – Consolidação")))</f>
        <v>Fase 3 – Execução Física</v>
      </c>
      <c r="C28" s="15"/>
      <c r="D28" s="16"/>
      <c r="E28" s="7"/>
      <c r="F28" s="15"/>
      <c r="G28" s="15"/>
      <c r="H28" s="7"/>
      <c r="I28" s="17" t="n">
        <f aca="false">(IF(E28="Sim",1,0))+(IF(H28="Sim",1,0))+(IF(F28&gt;=2,1,0))+(IF(G28&gt;=7,1,0))</f>
        <v>0</v>
      </c>
      <c r="J28" s="2"/>
    </row>
    <row r="29" customFormat="false" ht="15" hidden="false" customHeight="false" outlineLevel="0" collapsed="false">
      <c r="A29" s="13" t="n">
        <v>28</v>
      </c>
      <c r="B29" s="14" t="str">
        <f aca="false">IF(A29&lt;=10,"Fase 1 – Linha de Base",IF(A29&lt;=20,"Fase 2 – Estruturação",IF(A29&lt;=35,"Fase 3 – Execução Física","Fase 4 – Consolidação")))</f>
        <v>Fase 3 – Execução Física</v>
      </c>
      <c r="C29" s="15"/>
      <c r="D29" s="16"/>
      <c r="E29" s="7"/>
      <c r="F29" s="15"/>
      <c r="G29" s="15"/>
      <c r="H29" s="7"/>
      <c r="I29" s="17" t="n">
        <f aca="false">(IF(E29="Sim",1,0))+(IF(H29="Sim",1,0))+(IF(F29&gt;=2,1,0))+(IF(G29&gt;=7,1,0))</f>
        <v>0</v>
      </c>
      <c r="J29" s="2"/>
    </row>
    <row r="30" customFormat="false" ht="15" hidden="false" customHeight="false" outlineLevel="0" collapsed="false">
      <c r="A30" s="13" t="n">
        <v>29</v>
      </c>
      <c r="B30" s="14" t="str">
        <f aca="false">IF(A30&lt;=10,"Fase 1 – Linha de Base",IF(A30&lt;=20,"Fase 2 – Estruturação",IF(A30&lt;=35,"Fase 3 – Execução Física","Fase 4 – Consolidação")))</f>
        <v>Fase 3 – Execução Física</v>
      </c>
      <c r="C30" s="15"/>
      <c r="D30" s="16"/>
      <c r="E30" s="7"/>
      <c r="F30" s="15"/>
      <c r="G30" s="15"/>
      <c r="H30" s="7"/>
      <c r="I30" s="17" t="n">
        <f aca="false">(IF(E30="Sim",1,0))+(IF(H30="Sim",1,0))+(IF(F30&gt;=2,1,0))+(IF(G30&gt;=7,1,0))</f>
        <v>0</v>
      </c>
      <c r="J30" s="2"/>
    </row>
    <row r="31" customFormat="false" ht="15" hidden="false" customHeight="false" outlineLevel="0" collapsed="false">
      <c r="A31" s="13" t="n">
        <v>30</v>
      </c>
      <c r="B31" s="14" t="str">
        <f aca="false">IF(A31&lt;=10,"Fase 1 – Linha de Base",IF(A31&lt;=20,"Fase 2 – Estruturação",IF(A31&lt;=35,"Fase 3 – Execução Física","Fase 4 – Consolidação")))</f>
        <v>Fase 3 – Execução Física</v>
      </c>
      <c r="C31" s="15"/>
      <c r="D31" s="16"/>
      <c r="E31" s="7"/>
      <c r="F31" s="15"/>
      <c r="G31" s="15"/>
      <c r="H31" s="7"/>
      <c r="I31" s="17" t="n">
        <f aca="false">(IF(E31="Sim",1,0))+(IF(H31="Sim",1,0))+(IF(F31&gt;=2,1,0))+(IF(G31&gt;=7,1,0))</f>
        <v>0</v>
      </c>
      <c r="J31" s="2"/>
    </row>
    <row r="32" customFormat="false" ht="15" hidden="false" customHeight="false" outlineLevel="0" collapsed="false">
      <c r="A32" s="13" t="n">
        <v>31</v>
      </c>
      <c r="B32" s="14" t="str">
        <f aca="false">IF(A32&lt;=10,"Fase 1 – Linha de Base",IF(A32&lt;=20,"Fase 2 – Estruturação",IF(A32&lt;=35,"Fase 3 – Execução Física","Fase 4 – Consolidação")))</f>
        <v>Fase 3 – Execução Física</v>
      </c>
      <c r="C32" s="15"/>
      <c r="D32" s="16"/>
      <c r="E32" s="7"/>
      <c r="F32" s="15"/>
      <c r="G32" s="15"/>
      <c r="H32" s="7"/>
      <c r="I32" s="17" t="n">
        <f aca="false">(IF(E32="Sim",1,0))+(IF(H32="Sim",1,0))+(IF(F32&gt;=2,1,0))+(IF(G32&gt;=7,1,0))</f>
        <v>0</v>
      </c>
      <c r="J32" s="2"/>
    </row>
    <row r="33" customFormat="false" ht="15" hidden="false" customHeight="false" outlineLevel="0" collapsed="false">
      <c r="A33" s="13" t="n">
        <v>32</v>
      </c>
      <c r="B33" s="14" t="str">
        <f aca="false">IF(A33&lt;=10,"Fase 1 – Linha de Base",IF(A33&lt;=20,"Fase 2 – Estruturação",IF(A33&lt;=35,"Fase 3 – Execução Física","Fase 4 – Consolidação")))</f>
        <v>Fase 3 – Execução Física</v>
      </c>
      <c r="C33" s="15"/>
      <c r="D33" s="16"/>
      <c r="E33" s="7"/>
      <c r="F33" s="15"/>
      <c r="G33" s="15"/>
      <c r="H33" s="7"/>
      <c r="I33" s="17" t="n">
        <f aca="false">(IF(E33="Sim",1,0))+(IF(H33="Sim",1,0))+(IF(F33&gt;=2,1,0))+(IF(G33&gt;=7,1,0))</f>
        <v>0</v>
      </c>
      <c r="J33" s="2"/>
    </row>
    <row r="34" customFormat="false" ht="15" hidden="false" customHeight="false" outlineLevel="0" collapsed="false">
      <c r="A34" s="13" t="n">
        <v>33</v>
      </c>
      <c r="B34" s="14" t="str">
        <f aca="false">IF(A34&lt;=10,"Fase 1 – Linha de Base",IF(A34&lt;=20,"Fase 2 – Estruturação",IF(A34&lt;=35,"Fase 3 – Execução Física","Fase 4 – Consolidação")))</f>
        <v>Fase 3 – Execução Física</v>
      </c>
      <c r="C34" s="15"/>
      <c r="D34" s="16"/>
      <c r="E34" s="7"/>
      <c r="F34" s="15"/>
      <c r="G34" s="15"/>
      <c r="H34" s="7"/>
      <c r="I34" s="17" t="n">
        <f aca="false">(IF(E34="Sim",1,0))+(IF(H34="Sim",1,0))+(IF(F34&gt;=2,1,0))+(IF(G34&gt;=7,1,0))</f>
        <v>0</v>
      </c>
      <c r="J34" s="2"/>
    </row>
    <row r="35" customFormat="false" ht="15" hidden="false" customHeight="false" outlineLevel="0" collapsed="false">
      <c r="A35" s="13" t="n">
        <v>34</v>
      </c>
      <c r="B35" s="14" t="str">
        <f aca="false">IF(A35&lt;=10,"Fase 1 – Linha de Base",IF(A35&lt;=20,"Fase 2 – Estruturação",IF(A35&lt;=35,"Fase 3 – Execução Física","Fase 4 – Consolidação")))</f>
        <v>Fase 3 – Execução Física</v>
      </c>
      <c r="C35" s="15"/>
      <c r="D35" s="16"/>
      <c r="E35" s="7"/>
      <c r="F35" s="15"/>
      <c r="G35" s="15"/>
      <c r="H35" s="7"/>
      <c r="I35" s="17" t="n">
        <f aca="false">(IF(E35="Sim",1,0))+(IF(H35="Sim",1,0))+(IF(F35&gt;=2,1,0))+(IF(G35&gt;=7,1,0))</f>
        <v>0</v>
      </c>
      <c r="J35" s="2"/>
    </row>
    <row r="36" customFormat="false" ht="15" hidden="false" customHeight="false" outlineLevel="0" collapsed="false">
      <c r="A36" s="13" t="n">
        <v>35</v>
      </c>
      <c r="B36" s="14" t="str">
        <f aca="false">IF(A36&lt;=10,"Fase 1 – Linha de Base",IF(A36&lt;=20,"Fase 2 – Estruturação",IF(A36&lt;=35,"Fase 3 – Execução Física","Fase 4 – Consolidação")))</f>
        <v>Fase 3 – Execução Física</v>
      </c>
      <c r="C36" s="15"/>
      <c r="D36" s="16"/>
      <c r="E36" s="7"/>
      <c r="F36" s="15"/>
      <c r="G36" s="15"/>
      <c r="H36" s="7"/>
      <c r="I36" s="17" t="n">
        <f aca="false">(IF(E36="Sim",1,0))+(IF(H36="Sim",1,0))+(IF(F36&gt;=2,1,0))+(IF(G36&gt;=7,1,0))</f>
        <v>0</v>
      </c>
      <c r="J36" s="2"/>
    </row>
    <row r="37" customFormat="false" ht="15" hidden="false" customHeight="false" outlineLevel="0" collapsed="false">
      <c r="A37" s="13" t="n">
        <v>36</v>
      </c>
      <c r="B37" s="14" t="str">
        <f aca="false">IF(A37&lt;=10,"Fase 1 – Linha de Base",IF(A37&lt;=20,"Fase 2 – Estruturação",IF(A37&lt;=35,"Fase 3 – Execução Física","Fase 4 – Consolidação")))</f>
        <v>Fase 4 – Consolidação</v>
      </c>
      <c r="C37" s="15"/>
      <c r="D37" s="16"/>
      <c r="E37" s="7"/>
      <c r="F37" s="15"/>
      <c r="G37" s="15"/>
      <c r="H37" s="7"/>
      <c r="I37" s="17" t="n">
        <f aca="false">(IF(E37="Sim",1,0))+(IF(H37="Sim",1,0))+(IF(F37&gt;=2,1,0))+(IF(G37&gt;=7,1,0))</f>
        <v>0</v>
      </c>
      <c r="J37" s="2"/>
    </row>
    <row r="38" customFormat="false" ht="15" hidden="false" customHeight="false" outlineLevel="0" collapsed="false">
      <c r="A38" s="13" t="n">
        <v>37</v>
      </c>
      <c r="B38" s="14" t="str">
        <f aca="false">IF(A38&lt;=10,"Fase 1 – Linha de Base",IF(A38&lt;=20,"Fase 2 – Estruturação",IF(A38&lt;=35,"Fase 3 – Execução Física","Fase 4 – Consolidação")))</f>
        <v>Fase 4 – Consolidação</v>
      </c>
      <c r="C38" s="15"/>
      <c r="D38" s="16"/>
      <c r="E38" s="7"/>
      <c r="F38" s="15"/>
      <c r="G38" s="15"/>
      <c r="H38" s="7"/>
      <c r="I38" s="17" t="n">
        <f aca="false">(IF(E38="Sim",1,0))+(IF(H38="Sim",1,0))+(IF(F38&gt;=2,1,0))+(IF(G38&gt;=7,1,0))</f>
        <v>0</v>
      </c>
      <c r="J38" s="2"/>
    </row>
    <row r="39" customFormat="false" ht="15" hidden="false" customHeight="false" outlineLevel="0" collapsed="false">
      <c r="A39" s="13" t="n">
        <v>38</v>
      </c>
      <c r="B39" s="14" t="str">
        <f aca="false">IF(A39&lt;=10,"Fase 1 – Linha de Base",IF(A39&lt;=20,"Fase 2 – Estruturação",IF(A39&lt;=35,"Fase 3 – Execução Física","Fase 4 – Consolidação")))</f>
        <v>Fase 4 – Consolidação</v>
      </c>
      <c r="C39" s="15"/>
      <c r="D39" s="16"/>
      <c r="E39" s="7"/>
      <c r="F39" s="15"/>
      <c r="G39" s="15"/>
      <c r="H39" s="7"/>
      <c r="I39" s="17" t="n">
        <f aca="false">(IF(E39="Sim",1,0))+(IF(H39="Sim",1,0))+(IF(F39&gt;=2,1,0))+(IF(G39&gt;=7,1,0))</f>
        <v>0</v>
      </c>
      <c r="J39" s="2"/>
    </row>
    <row r="40" customFormat="false" ht="15" hidden="false" customHeight="false" outlineLevel="0" collapsed="false">
      <c r="A40" s="13" t="n">
        <v>39</v>
      </c>
      <c r="B40" s="14" t="str">
        <f aca="false">IF(A40&lt;=10,"Fase 1 – Linha de Base",IF(A40&lt;=20,"Fase 2 – Estruturação",IF(A40&lt;=35,"Fase 3 – Execução Física","Fase 4 – Consolidação")))</f>
        <v>Fase 4 – Consolidação</v>
      </c>
      <c r="C40" s="15"/>
      <c r="D40" s="16"/>
      <c r="E40" s="7"/>
      <c r="F40" s="15"/>
      <c r="G40" s="15"/>
      <c r="H40" s="7"/>
      <c r="I40" s="17" t="n">
        <f aca="false">(IF(E40="Sim",1,0))+(IF(H40="Sim",1,0))+(IF(F40&gt;=2,1,0))+(IF(G40&gt;=7,1,0))</f>
        <v>0</v>
      </c>
      <c r="J40" s="2"/>
    </row>
    <row r="41" customFormat="false" ht="15" hidden="false" customHeight="false" outlineLevel="0" collapsed="false">
      <c r="A41" s="13" t="n">
        <v>40</v>
      </c>
      <c r="B41" s="14" t="str">
        <f aca="false">IF(A41&lt;=10,"Fase 1 – Linha de Base",IF(A41&lt;=20,"Fase 2 – Estruturação",IF(A41&lt;=35,"Fase 3 – Execução Física","Fase 4 – Consolidação")))</f>
        <v>Fase 4 – Consolidação</v>
      </c>
      <c r="C41" s="15"/>
      <c r="D41" s="16"/>
      <c r="E41" s="7"/>
      <c r="F41" s="15"/>
      <c r="G41" s="15"/>
      <c r="H41" s="7"/>
      <c r="I41" s="17" t="n">
        <f aca="false">(IF(E41="Sim",1,0))+(IF(H41="Sim",1,0))+(IF(F41&gt;=2,1,0))+(IF(G41&gt;=7,1,0))</f>
        <v>0</v>
      </c>
      <c r="J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61.15" hidden="false" customHeight="false" outlineLevel="0" collapsed="false">
      <c r="A43" s="4" t="s">
        <v>39</v>
      </c>
      <c r="B43" s="2"/>
      <c r="C43" s="2"/>
      <c r="D43" s="2"/>
      <c r="E43" s="2"/>
      <c r="F43" s="2"/>
      <c r="G43" s="2"/>
      <c r="H43" s="2"/>
      <c r="I43" s="2"/>
      <c r="J43" s="2"/>
    </row>
    <row r="44" customFormat="false" ht="23.85" hidden="false" customHeight="false" outlineLevel="0" collapsed="false">
      <c r="A44" s="6" t="s">
        <v>40</v>
      </c>
      <c r="B44" s="18" t="n">
        <f aca="false">IFERROR(COUNTIF(H2:H41,"Sim")/40,"")</f>
        <v>0.025</v>
      </c>
      <c r="C44" s="2"/>
      <c r="D44" s="2"/>
      <c r="E44" s="2"/>
      <c r="F44" s="2"/>
      <c r="G44" s="2"/>
      <c r="H44" s="2"/>
      <c r="I44" s="2"/>
      <c r="J44" s="2"/>
    </row>
    <row r="45" customFormat="false" ht="46.25" hidden="false" customHeight="false" outlineLevel="0" collapsed="false">
      <c r="A45" s="6" t="s">
        <v>41</v>
      </c>
      <c r="B45" s="18" t="n">
        <f aca="false">IFERROR(COUNTIF(E2:E41,"Sim")/40,"")</f>
        <v>0.025</v>
      </c>
      <c r="C45" s="2"/>
      <c r="D45" s="2"/>
      <c r="E45" s="2"/>
      <c r="F45" s="2"/>
      <c r="G45" s="2"/>
      <c r="H45" s="2"/>
      <c r="I45" s="2"/>
      <c r="J45" s="2"/>
    </row>
    <row r="46" customFormat="false" ht="23.85" hidden="false" customHeight="false" outlineLevel="0" collapsed="false">
      <c r="A46" s="6" t="s">
        <v>42</v>
      </c>
      <c r="B46" s="19" t="n">
        <f aca="false">IFERROR(AVERAGE(G2:G41),"")</f>
        <v>7.5</v>
      </c>
      <c r="C46" s="2"/>
      <c r="D46" s="2"/>
      <c r="E46" s="2"/>
      <c r="F46" s="2"/>
      <c r="G46" s="2"/>
      <c r="H46" s="2"/>
      <c r="I46" s="2"/>
      <c r="J46" s="2"/>
    </row>
    <row r="47" customFormat="false" ht="35.05" hidden="false" customHeight="false" outlineLevel="0" collapsed="false">
      <c r="A47" s="6" t="s">
        <v>43</v>
      </c>
      <c r="B47" s="19" t="n">
        <f aca="false">IFERROR(C41-C2,"")</f>
        <v>-78</v>
      </c>
      <c r="C47" s="2"/>
      <c r="D47" s="2"/>
      <c r="E47" s="2"/>
      <c r="F47" s="2"/>
      <c r="G47" s="2"/>
      <c r="H47" s="2"/>
      <c r="I47" s="2"/>
      <c r="J47" s="2"/>
    </row>
    <row r="48" customFormat="false" ht="35.05" hidden="false" customHeight="false" outlineLevel="0" collapsed="false">
      <c r="A48" s="6" t="s">
        <v>44</v>
      </c>
      <c r="B48" s="18" t="n">
        <f aca="false">IFERROR(AVERAGE(I2:I41)/4,"")</f>
        <v>0.025</v>
      </c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</sheetData>
  <conditionalFormatting sqref="I2:I41">
    <cfRule type="colorScale" priority="2">
      <colorScale>
        <cfvo type="num" val="0"/>
        <cfvo type="num" val="2"/>
        <cfvo type="num" val="4"/>
        <color rgb="FF8C2F1B"/>
        <color rgb="FF4D4D4D"/>
        <color rgb="FF368F8B"/>
      </colorScale>
    </cfRule>
  </conditionalFormatting>
  <conditionalFormatting sqref="C2:C41">
    <cfRule type="dataBar" priority="3">
      <dataBar showValue="1" minLength="10" maxLength="90">
        <cfvo type="min" val="0"/>
        <cfvo type="max" val="0"/>
        <color rgb="FF368F8B"/>
      </dataBar>
      <extLst>
        <ext xmlns:x14="http://schemas.microsoft.com/office/spreadsheetml/2009/9/main" uri="{B025F937-C7B1-47D3-B67F-A62EFF666E3E}">
          <x14:id>{1630E379-A05E-4E2B-B053-479BD269B43C}</x14:id>
        </ext>
      </extLst>
    </cfRule>
  </conditionalFormatting>
  <dataValidations count="2">
    <dataValidation allowBlank="true" errorStyle="stop" operator="between" showDropDown="false" showErrorMessage="false" showInputMessage="false" sqref="E2:E41" type="list">
      <formula1>"Sim,Não"</formula1>
      <formula2>0</formula2>
    </dataValidation>
    <dataValidation allowBlank="true" errorStyle="stop" operator="between" showDropDown="false" showErrorMessage="false" showInputMessage="false" sqref="H2:H4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30E379-A05E-4E2B-B053-479BD269B43C}">
            <x14:dataBar minLength="10" maxLength="90" axisPosition="none" gradient="true">
              <x14:cfvo type="min"/>
              <x14:cfvo type="max"/>
              <x14:negativeFillColor rgb="FF368F8B"/>
              <x14:axisColor rgb="FF000000"/>
            </x14:dataBar>
          </x14:cfRule>
          <xm:sqref>C2:C41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2" min="9" style="0" width="3"/>
    <col collapsed="false" customWidth="true" hidden="false" outlineLevel="0" max="13" min="13" style="0" width="18"/>
    <col collapsed="false" customWidth="true" hidden="false" outlineLevel="0" max="16" min="14" style="0" width="12"/>
    <col collapsed="false" customWidth="true" hidden="false" outlineLevel="0" max="17" min="17" style="0" width="14"/>
    <col collapsed="false" customWidth="true" hidden="false" outlineLevel="0" max="18" min="18" style="0" width="12"/>
  </cols>
  <sheetData>
    <row r="1" customFormat="false" ht="23.85" hidden="false" customHeight="false" outlineLevel="0" collapsed="false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2"/>
      <c r="J1" s="2"/>
      <c r="K1" s="2"/>
      <c r="L1" s="2"/>
      <c r="M1" s="5" t="s">
        <v>47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</row>
    <row r="2" customFormat="false" ht="15" hidden="false" customHeight="false" outlineLevel="0" collapsed="false">
      <c r="A2" s="20" t="s">
        <v>58</v>
      </c>
      <c r="B2" s="20" t="s">
        <v>59</v>
      </c>
      <c r="C2" s="20" t="s">
        <v>60</v>
      </c>
      <c r="D2" s="16" t="n">
        <v>100</v>
      </c>
      <c r="E2" s="19" t="n">
        <f aca="false">IFERROR(VLOOKUP($C2,BaseAlimentos,3,0)*$D2/100,"")</f>
        <v>155</v>
      </c>
      <c r="F2" s="19" t="n">
        <f aca="false">IFERROR(VLOOKUP($C2,BaseAlimentos,4,0)*$D2/100,"")</f>
        <v>13</v>
      </c>
      <c r="G2" s="19" t="n">
        <f aca="false">IFERROR(VLOOKUP($C2,BaseAlimentos,5,0)*$D2/100,"")</f>
        <v>1.1</v>
      </c>
      <c r="H2" s="19" t="n">
        <f aca="false">IFERROR(VLOOKUP($C2,BaseAlimentos,6,0)*$D2/100,"")</f>
        <v>11</v>
      </c>
      <c r="I2" s="2"/>
      <c r="J2" s="2"/>
      <c r="K2" s="2"/>
      <c r="L2" s="2"/>
      <c r="M2" s="8" t="s">
        <v>61</v>
      </c>
      <c r="N2" s="13" t="s">
        <v>59</v>
      </c>
      <c r="O2" s="13" t="n">
        <v>165</v>
      </c>
      <c r="P2" s="13" t="n">
        <v>31</v>
      </c>
      <c r="Q2" s="13" t="n">
        <v>0</v>
      </c>
      <c r="R2" s="13" t="n">
        <v>3.6</v>
      </c>
    </row>
    <row r="3" customFormat="false" ht="15" hidden="false" customHeight="false" outlineLevel="0" collapsed="false">
      <c r="A3" s="20" t="s">
        <v>58</v>
      </c>
      <c r="B3" s="20" t="s">
        <v>62</v>
      </c>
      <c r="C3" s="20" t="s">
        <v>63</v>
      </c>
      <c r="D3" s="16" t="n">
        <v>50</v>
      </c>
      <c r="E3" s="19" t="n">
        <f aca="false">IFERROR(VLOOKUP($C3,BaseAlimentos,3,0)*$D3/100,"")</f>
        <v>194.5</v>
      </c>
      <c r="F3" s="19" t="n">
        <f aca="false">IFERROR(VLOOKUP($C3,BaseAlimentos,4,0)*$D3/100,"")</f>
        <v>8.45</v>
      </c>
      <c r="G3" s="19" t="n">
        <f aca="false">IFERROR(VLOOKUP($C3,BaseAlimentos,5,0)*$D3/100,"")</f>
        <v>33</v>
      </c>
      <c r="H3" s="19" t="n">
        <f aca="false">IFERROR(VLOOKUP($C3,BaseAlimentos,6,0)*$D3/100,"")</f>
        <v>3.45</v>
      </c>
      <c r="I3" s="2"/>
      <c r="J3" s="2"/>
      <c r="K3" s="2"/>
      <c r="L3" s="2"/>
      <c r="M3" s="8" t="s">
        <v>60</v>
      </c>
      <c r="N3" s="13" t="s">
        <v>59</v>
      </c>
      <c r="O3" s="13" t="n">
        <v>155</v>
      </c>
      <c r="P3" s="13" t="n">
        <v>13</v>
      </c>
      <c r="Q3" s="13" t="n">
        <v>1.1</v>
      </c>
      <c r="R3" s="13" t="n">
        <v>11</v>
      </c>
    </row>
    <row r="4" customFormat="false" ht="15" hidden="false" customHeight="false" outlineLevel="0" collapsed="false">
      <c r="A4" s="20"/>
      <c r="B4" s="20"/>
      <c r="C4" s="20"/>
      <c r="D4" s="16"/>
      <c r="E4" s="19" t="str">
        <f aca="false">IFERROR(VLOOKUP($C4,BaseAlimentos,3,0)*$D4/100,"")</f>
        <v/>
      </c>
      <c r="F4" s="19" t="str">
        <f aca="false">IFERROR(VLOOKUP($C4,BaseAlimentos,4,0)*$D4/100,"")</f>
        <v/>
      </c>
      <c r="G4" s="19" t="str">
        <f aca="false">IFERROR(VLOOKUP($C4,BaseAlimentos,5,0)*$D4/100,"")</f>
        <v/>
      </c>
      <c r="H4" s="19" t="str">
        <f aca="false">IFERROR(VLOOKUP($C4,BaseAlimentos,6,0)*$D4/100,"")</f>
        <v/>
      </c>
      <c r="I4" s="2"/>
      <c r="J4" s="2"/>
      <c r="K4" s="2"/>
      <c r="L4" s="2"/>
      <c r="M4" s="8" t="s">
        <v>64</v>
      </c>
      <c r="N4" s="13" t="s">
        <v>59</v>
      </c>
      <c r="O4" s="13" t="n">
        <v>97</v>
      </c>
      <c r="P4" s="13" t="n">
        <v>10</v>
      </c>
      <c r="Q4" s="13" t="n">
        <v>3.6</v>
      </c>
      <c r="R4" s="13" t="n">
        <v>5</v>
      </c>
    </row>
    <row r="5" customFormat="false" ht="15" hidden="false" customHeight="false" outlineLevel="0" collapsed="false">
      <c r="A5" s="20"/>
      <c r="B5" s="20"/>
      <c r="C5" s="20"/>
      <c r="D5" s="16"/>
      <c r="E5" s="19" t="str">
        <f aca="false">IFERROR(VLOOKUP($C5,BaseAlimentos,3,0)*$D5/100,"")</f>
        <v/>
      </c>
      <c r="F5" s="19" t="str">
        <f aca="false">IFERROR(VLOOKUP($C5,BaseAlimentos,4,0)*$D5/100,"")</f>
        <v/>
      </c>
      <c r="G5" s="19" t="str">
        <f aca="false">IFERROR(VLOOKUP($C5,BaseAlimentos,5,0)*$D5/100,"")</f>
        <v/>
      </c>
      <c r="H5" s="19" t="str">
        <f aca="false">IFERROR(VLOOKUP($C5,BaseAlimentos,6,0)*$D5/100,"")</f>
        <v/>
      </c>
      <c r="I5" s="2"/>
      <c r="J5" s="2"/>
      <c r="K5" s="2"/>
      <c r="L5" s="2"/>
      <c r="M5" s="8" t="s">
        <v>65</v>
      </c>
      <c r="N5" s="13" t="s">
        <v>59</v>
      </c>
      <c r="O5" s="13" t="n">
        <v>172</v>
      </c>
      <c r="P5" s="13" t="n">
        <v>26</v>
      </c>
      <c r="Q5" s="13" t="n">
        <v>0</v>
      </c>
      <c r="R5" s="13" t="n">
        <v>7</v>
      </c>
    </row>
    <row r="6" customFormat="false" ht="15" hidden="false" customHeight="false" outlineLevel="0" collapsed="false">
      <c r="A6" s="20"/>
      <c r="B6" s="20"/>
      <c r="C6" s="20"/>
      <c r="D6" s="16"/>
      <c r="E6" s="19" t="str">
        <f aca="false">IFERROR(VLOOKUP($C6,BaseAlimentos,3,0)*$D6/100,"")</f>
        <v/>
      </c>
      <c r="F6" s="19" t="str">
        <f aca="false">IFERROR(VLOOKUP($C6,BaseAlimentos,4,0)*$D6/100,"")</f>
        <v/>
      </c>
      <c r="G6" s="19" t="str">
        <f aca="false">IFERROR(VLOOKUP($C6,BaseAlimentos,5,0)*$D6/100,"")</f>
        <v/>
      </c>
      <c r="H6" s="19" t="str">
        <f aca="false">IFERROR(VLOOKUP($C6,BaseAlimentos,6,0)*$D6/100,"")</f>
        <v/>
      </c>
      <c r="I6" s="2"/>
      <c r="J6" s="2"/>
      <c r="K6" s="2"/>
      <c r="L6" s="2"/>
      <c r="M6" s="8" t="s">
        <v>66</v>
      </c>
      <c r="N6" s="13" t="s">
        <v>59</v>
      </c>
      <c r="O6" s="13" t="n">
        <v>76</v>
      </c>
      <c r="P6" s="13" t="n">
        <v>8</v>
      </c>
      <c r="Q6" s="13" t="n">
        <v>1.9</v>
      </c>
      <c r="R6" s="13" t="n">
        <v>4.8</v>
      </c>
    </row>
    <row r="7" customFormat="false" ht="15" hidden="false" customHeight="false" outlineLevel="0" collapsed="false">
      <c r="A7" s="20"/>
      <c r="B7" s="20"/>
      <c r="C7" s="20"/>
      <c r="D7" s="16"/>
      <c r="E7" s="19" t="str">
        <f aca="false">IFERROR(VLOOKUP($C7,BaseAlimentos,3,0)*$D7/100,"")</f>
        <v/>
      </c>
      <c r="F7" s="19" t="str">
        <f aca="false">IFERROR(VLOOKUP($C7,BaseAlimentos,4,0)*$D7/100,"")</f>
        <v/>
      </c>
      <c r="G7" s="19" t="str">
        <f aca="false">IFERROR(VLOOKUP($C7,BaseAlimentos,5,0)*$D7/100,"")</f>
        <v/>
      </c>
      <c r="H7" s="19" t="str">
        <f aca="false">IFERROR(VLOOKUP($C7,BaseAlimentos,6,0)*$D7/100,"")</f>
        <v/>
      </c>
      <c r="I7" s="2"/>
      <c r="J7" s="2"/>
      <c r="K7" s="2"/>
      <c r="L7" s="2"/>
      <c r="M7" s="8" t="s">
        <v>67</v>
      </c>
      <c r="N7" s="13" t="s">
        <v>62</v>
      </c>
      <c r="O7" s="13" t="n">
        <v>123</v>
      </c>
      <c r="P7" s="13" t="n">
        <v>2.6</v>
      </c>
      <c r="Q7" s="13" t="n">
        <v>23</v>
      </c>
      <c r="R7" s="13" t="n">
        <v>1</v>
      </c>
    </row>
    <row r="8" customFormat="false" ht="15" hidden="false" customHeight="false" outlineLevel="0" collapsed="false">
      <c r="A8" s="20"/>
      <c r="B8" s="20"/>
      <c r="C8" s="20"/>
      <c r="D8" s="16"/>
      <c r="E8" s="19" t="str">
        <f aca="false">IFERROR(VLOOKUP($C8,BaseAlimentos,3,0)*$D8/100,"")</f>
        <v/>
      </c>
      <c r="F8" s="19" t="str">
        <f aca="false">IFERROR(VLOOKUP($C8,BaseAlimentos,4,0)*$D8/100,"")</f>
        <v/>
      </c>
      <c r="G8" s="19" t="str">
        <f aca="false">IFERROR(VLOOKUP($C8,BaseAlimentos,5,0)*$D8/100,"")</f>
        <v/>
      </c>
      <c r="H8" s="19" t="str">
        <f aca="false">IFERROR(VLOOKUP($C8,BaseAlimentos,6,0)*$D8/100,"")</f>
        <v/>
      </c>
      <c r="I8" s="2"/>
      <c r="J8" s="2"/>
      <c r="K8" s="2"/>
      <c r="L8" s="2"/>
      <c r="M8" s="8" t="s">
        <v>68</v>
      </c>
      <c r="N8" s="13" t="s">
        <v>62</v>
      </c>
      <c r="O8" s="13" t="n">
        <v>86</v>
      </c>
      <c r="P8" s="13" t="n">
        <v>1.6</v>
      </c>
      <c r="Q8" s="13" t="n">
        <v>20</v>
      </c>
      <c r="R8" s="13" t="n">
        <v>0.1</v>
      </c>
    </row>
    <row r="9" customFormat="false" ht="15" hidden="false" customHeight="false" outlineLevel="0" collapsed="false">
      <c r="A9" s="20"/>
      <c r="B9" s="20"/>
      <c r="C9" s="20"/>
      <c r="D9" s="16"/>
      <c r="E9" s="19" t="str">
        <f aca="false">IFERROR(VLOOKUP($C9,BaseAlimentos,3,0)*$D9/100,"")</f>
        <v/>
      </c>
      <c r="F9" s="19" t="str">
        <f aca="false">IFERROR(VLOOKUP($C9,BaseAlimentos,4,0)*$D9/100,"")</f>
        <v/>
      </c>
      <c r="G9" s="19" t="str">
        <f aca="false">IFERROR(VLOOKUP($C9,BaseAlimentos,5,0)*$D9/100,"")</f>
        <v/>
      </c>
      <c r="H9" s="19" t="str">
        <f aca="false">IFERROR(VLOOKUP($C9,BaseAlimentos,6,0)*$D9/100,"")</f>
        <v/>
      </c>
      <c r="I9" s="2"/>
      <c r="J9" s="2"/>
      <c r="K9" s="2"/>
      <c r="L9" s="2"/>
      <c r="M9" s="8" t="s">
        <v>63</v>
      </c>
      <c r="N9" s="13" t="s">
        <v>62</v>
      </c>
      <c r="O9" s="13" t="n">
        <v>389</v>
      </c>
      <c r="P9" s="13" t="n">
        <v>16.9</v>
      </c>
      <c r="Q9" s="13" t="n">
        <v>66</v>
      </c>
      <c r="R9" s="13" t="n">
        <v>6.9</v>
      </c>
    </row>
    <row r="10" customFormat="false" ht="15" hidden="false" customHeight="false" outlineLevel="0" collapsed="false">
      <c r="A10" s="20"/>
      <c r="B10" s="20"/>
      <c r="C10" s="20"/>
      <c r="D10" s="16"/>
      <c r="E10" s="19" t="str">
        <f aca="false">IFERROR(VLOOKUP($C10,BaseAlimentos,3,0)*$D10/100,"")</f>
        <v/>
      </c>
      <c r="F10" s="19" t="str">
        <f aca="false">IFERROR(VLOOKUP($C10,BaseAlimentos,4,0)*$D10/100,"")</f>
        <v/>
      </c>
      <c r="G10" s="19" t="str">
        <f aca="false">IFERROR(VLOOKUP($C10,BaseAlimentos,5,0)*$D10/100,"")</f>
        <v/>
      </c>
      <c r="H10" s="19" t="str">
        <f aca="false">IFERROR(VLOOKUP($C10,BaseAlimentos,6,0)*$D10/100,"")</f>
        <v/>
      </c>
      <c r="I10" s="2"/>
      <c r="J10" s="2"/>
      <c r="K10" s="2"/>
      <c r="L10" s="2"/>
      <c r="M10" s="8" t="s">
        <v>69</v>
      </c>
      <c r="N10" s="13" t="s">
        <v>62</v>
      </c>
      <c r="O10" s="13" t="n">
        <v>247</v>
      </c>
      <c r="P10" s="13" t="n">
        <v>13</v>
      </c>
      <c r="Q10" s="13" t="n">
        <v>40</v>
      </c>
      <c r="R10" s="13" t="n">
        <v>3.4</v>
      </c>
    </row>
    <row r="11" customFormat="false" ht="15" hidden="false" customHeight="false" outlineLevel="0" collapsed="false">
      <c r="A11" s="20"/>
      <c r="B11" s="20"/>
      <c r="C11" s="20"/>
      <c r="D11" s="16"/>
      <c r="E11" s="19" t="str">
        <f aca="false">IFERROR(VLOOKUP($C11,BaseAlimentos,3,0)*$D11/100,"")</f>
        <v/>
      </c>
      <c r="F11" s="19" t="str">
        <f aca="false">IFERROR(VLOOKUP($C11,BaseAlimentos,4,0)*$D11/100,"")</f>
        <v/>
      </c>
      <c r="G11" s="19" t="str">
        <f aca="false">IFERROR(VLOOKUP($C11,BaseAlimentos,5,0)*$D11/100,"")</f>
        <v/>
      </c>
      <c r="H11" s="19" t="str">
        <f aca="false">IFERROR(VLOOKUP($C11,BaseAlimentos,6,0)*$D11/100,"")</f>
        <v/>
      </c>
      <c r="I11" s="2"/>
      <c r="J11" s="2"/>
      <c r="K11" s="2"/>
      <c r="L11" s="2"/>
      <c r="M11" s="8" t="s">
        <v>70</v>
      </c>
      <c r="N11" s="13" t="s">
        <v>71</v>
      </c>
      <c r="O11" s="13" t="n">
        <v>34</v>
      </c>
      <c r="P11" s="13" t="n">
        <v>2.8</v>
      </c>
      <c r="Q11" s="13" t="n">
        <v>6.6</v>
      </c>
      <c r="R11" s="13" t="n">
        <v>0.4</v>
      </c>
    </row>
    <row r="12" customFormat="false" ht="15" hidden="false" customHeight="false" outlineLevel="0" collapsed="false">
      <c r="A12" s="20"/>
      <c r="B12" s="20"/>
      <c r="C12" s="20"/>
      <c r="D12" s="16"/>
      <c r="E12" s="19" t="str">
        <f aca="false">IFERROR(VLOOKUP($C12,BaseAlimentos,3,0)*$D12/100,"")</f>
        <v/>
      </c>
      <c r="F12" s="19" t="str">
        <f aca="false">IFERROR(VLOOKUP($C12,BaseAlimentos,4,0)*$D12/100,"")</f>
        <v/>
      </c>
      <c r="G12" s="19" t="str">
        <f aca="false">IFERROR(VLOOKUP($C12,BaseAlimentos,5,0)*$D12/100,"")</f>
        <v/>
      </c>
      <c r="H12" s="19" t="str">
        <f aca="false">IFERROR(VLOOKUP($C12,BaseAlimentos,6,0)*$D12/100,"")</f>
        <v/>
      </c>
      <c r="I12" s="2"/>
      <c r="J12" s="2"/>
      <c r="K12" s="2"/>
      <c r="L12" s="2"/>
      <c r="M12" s="8" t="s">
        <v>72</v>
      </c>
      <c r="N12" s="13" t="s">
        <v>71</v>
      </c>
      <c r="O12" s="13" t="n">
        <v>41</v>
      </c>
      <c r="P12" s="13" t="n">
        <v>0.9</v>
      </c>
      <c r="Q12" s="13" t="n">
        <v>9.6</v>
      </c>
      <c r="R12" s="13" t="n">
        <v>0.2</v>
      </c>
    </row>
    <row r="13" customFormat="false" ht="15" hidden="false" customHeight="false" outlineLevel="0" collapsed="false">
      <c r="A13" s="20"/>
      <c r="B13" s="20"/>
      <c r="C13" s="20"/>
      <c r="D13" s="16"/>
      <c r="E13" s="19" t="str">
        <f aca="false">IFERROR(VLOOKUP($C13,BaseAlimentos,3,0)*$D13/100,"")</f>
        <v/>
      </c>
      <c r="F13" s="19" t="str">
        <f aca="false">IFERROR(VLOOKUP($C13,BaseAlimentos,4,0)*$D13/100,"")</f>
        <v/>
      </c>
      <c r="G13" s="19" t="str">
        <f aca="false">IFERROR(VLOOKUP($C13,BaseAlimentos,5,0)*$D13/100,"")</f>
        <v/>
      </c>
      <c r="H13" s="19" t="str">
        <f aca="false">IFERROR(VLOOKUP($C13,BaseAlimentos,6,0)*$D13/100,"")</f>
        <v/>
      </c>
      <c r="I13" s="2"/>
      <c r="J13" s="2"/>
      <c r="K13" s="2"/>
      <c r="L13" s="2"/>
      <c r="M13" s="8" t="s">
        <v>73</v>
      </c>
      <c r="N13" s="13" t="s">
        <v>71</v>
      </c>
      <c r="O13" s="13" t="n">
        <v>23</v>
      </c>
      <c r="P13" s="13" t="n">
        <v>2.9</v>
      </c>
      <c r="Q13" s="13" t="n">
        <v>3.6</v>
      </c>
      <c r="R13" s="13" t="n">
        <v>0.4</v>
      </c>
    </row>
    <row r="14" customFormat="false" ht="15" hidden="false" customHeight="false" outlineLevel="0" collapsed="false">
      <c r="A14" s="20"/>
      <c r="B14" s="20"/>
      <c r="C14" s="20"/>
      <c r="D14" s="16"/>
      <c r="E14" s="19" t="str">
        <f aca="false">IFERROR(VLOOKUP($C14,BaseAlimentos,3,0)*$D14/100,"")</f>
        <v/>
      </c>
      <c r="F14" s="19" t="str">
        <f aca="false">IFERROR(VLOOKUP($C14,BaseAlimentos,4,0)*$D14/100,"")</f>
        <v/>
      </c>
      <c r="G14" s="19" t="str">
        <f aca="false">IFERROR(VLOOKUP($C14,BaseAlimentos,5,0)*$D14/100,"")</f>
        <v/>
      </c>
      <c r="H14" s="19" t="str">
        <f aca="false">IFERROR(VLOOKUP($C14,BaseAlimentos,6,0)*$D14/100,"")</f>
        <v/>
      </c>
      <c r="I14" s="2"/>
      <c r="J14" s="2"/>
      <c r="K14" s="2"/>
      <c r="L14" s="2"/>
      <c r="M14" s="8" t="s">
        <v>74</v>
      </c>
      <c r="N14" s="13" t="s">
        <v>75</v>
      </c>
      <c r="O14" s="13" t="n">
        <v>884</v>
      </c>
      <c r="P14" s="13" t="n">
        <v>0</v>
      </c>
      <c r="Q14" s="13" t="n">
        <v>0</v>
      </c>
      <c r="R14" s="13" t="n">
        <v>100</v>
      </c>
    </row>
    <row r="15" customFormat="false" ht="15" hidden="false" customHeight="false" outlineLevel="0" collapsed="false">
      <c r="A15" s="20"/>
      <c r="B15" s="20"/>
      <c r="C15" s="20"/>
      <c r="D15" s="16"/>
      <c r="E15" s="19" t="str">
        <f aca="false">IFERROR(VLOOKUP($C15,BaseAlimentos,3,0)*$D15/100,"")</f>
        <v/>
      </c>
      <c r="F15" s="19" t="str">
        <f aca="false">IFERROR(VLOOKUP($C15,BaseAlimentos,4,0)*$D15/100,"")</f>
        <v/>
      </c>
      <c r="G15" s="19" t="str">
        <f aca="false">IFERROR(VLOOKUP($C15,BaseAlimentos,5,0)*$D15/100,"")</f>
        <v/>
      </c>
      <c r="H15" s="19" t="str">
        <f aca="false">IFERROR(VLOOKUP($C15,BaseAlimentos,6,0)*$D15/100,"")</f>
        <v/>
      </c>
      <c r="I15" s="2"/>
      <c r="J15" s="2"/>
      <c r="K15" s="2"/>
      <c r="L15" s="2"/>
      <c r="M15" s="8" t="s">
        <v>76</v>
      </c>
      <c r="N15" s="13" t="s">
        <v>75</v>
      </c>
      <c r="O15" s="13" t="n">
        <v>160</v>
      </c>
      <c r="P15" s="13" t="n">
        <v>2</v>
      </c>
      <c r="Q15" s="13" t="n">
        <v>8.5</v>
      </c>
      <c r="R15" s="13" t="n">
        <v>14.7</v>
      </c>
    </row>
    <row r="16" customFormat="false" ht="15" hidden="false" customHeight="false" outlineLevel="0" collapsed="false">
      <c r="A16" s="20"/>
      <c r="B16" s="20"/>
      <c r="C16" s="20"/>
      <c r="D16" s="16"/>
      <c r="E16" s="19" t="str">
        <f aca="false">IFERROR(VLOOKUP($C16,BaseAlimentos,3,0)*$D16/100,"")</f>
        <v/>
      </c>
      <c r="F16" s="19" t="str">
        <f aca="false">IFERROR(VLOOKUP($C16,BaseAlimentos,4,0)*$D16/100,"")</f>
        <v/>
      </c>
      <c r="G16" s="19" t="str">
        <f aca="false">IFERROR(VLOOKUP($C16,BaseAlimentos,5,0)*$D16/100,"")</f>
        <v/>
      </c>
      <c r="H16" s="19" t="str">
        <f aca="false">IFERROR(VLOOKUP($C16,BaseAlimentos,6,0)*$D16/100,"")</f>
        <v/>
      </c>
      <c r="I16" s="2"/>
      <c r="J16" s="2"/>
      <c r="K16" s="2"/>
      <c r="L16" s="2"/>
      <c r="M16" s="8" t="s">
        <v>77</v>
      </c>
      <c r="N16" s="13" t="s">
        <v>75</v>
      </c>
      <c r="O16" s="13" t="n">
        <v>607</v>
      </c>
      <c r="P16" s="13" t="n">
        <v>15</v>
      </c>
      <c r="Q16" s="13" t="n">
        <v>14</v>
      </c>
      <c r="R16" s="13" t="n">
        <v>54</v>
      </c>
    </row>
    <row r="17" customFormat="false" ht="15" hidden="false" customHeight="false" outlineLevel="0" collapsed="false">
      <c r="A17" s="20"/>
      <c r="B17" s="20"/>
      <c r="C17" s="20"/>
      <c r="D17" s="16"/>
      <c r="E17" s="19" t="str">
        <f aca="false">IFERROR(VLOOKUP($C17,BaseAlimentos,3,0)*$D17/100,"")</f>
        <v/>
      </c>
      <c r="F17" s="19" t="str">
        <f aca="false">IFERROR(VLOOKUP($C17,BaseAlimentos,4,0)*$D17/100,"")</f>
        <v/>
      </c>
      <c r="G17" s="19" t="str">
        <f aca="false">IFERROR(VLOOKUP($C17,BaseAlimentos,5,0)*$D17/100,"")</f>
        <v/>
      </c>
      <c r="H17" s="19" t="str">
        <f aca="false">IFERROR(VLOOKUP($C17,BaseAlimentos,6,0)*$D17/100,"")</f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5" hidden="false" customHeight="false" outlineLevel="0" collapsed="false">
      <c r="A18" s="20"/>
      <c r="B18" s="20"/>
      <c r="C18" s="20"/>
      <c r="D18" s="16"/>
      <c r="E18" s="19" t="str">
        <f aca="false">IFERROR(VLOOKUP($C18,BaseAlimentos,3,0)*$D18/100,"")</f>
        <v/>
      </c>
      <c r="F18" s="19" t="str">
        <f aca="false">IFERROR(VLOOKUP($C18,BaseAlimentos,4,0)*$D18/100,"")</f>
        <v/>
      </c>
      <c r="G18" s="19" t="str">
        <f aca="false">IFERROR(VLOOKUP($C18,BaseAlimentos,5,0)*$D18/100,"")</f>
        <v/>
      </c>
      <c r="H18" s="19" t="str">
        <f aca="false">IFERROR(VLOOKUP($C18,BaseAlimentos,6,0)*$D18/100,"")</f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5" hidden="false" customHeight="false" outlineLevel="0" collapsed="false">
      <c r="A19" s="20"/>
      <c r="B19" s="20"/>
      <c r="C19" s="20"/>
      <c r="D19" s="16"/>
      <c r="E19" s="19" t="str">
        <f aca="false">IFERROR(VLOOKUP($C19,BaseAlimentos,3,0)*$D19/100,"")</f>
        <v/>
      </c>
      <c r="F19" s="19" t="str">
        <f aca="false">IFERROR(VLOOKUP($C19,BaseAlimentos,4,0)*$D19/100,"")</f>
        <v/>
      </c>
      <c r="G19" s="19" t="str">
        <f aca="false">IFERROR(VLOOKUP($C19,BaseAlimentos,5,0)*$D19/100,"")</f>
        <v/>
      </c>
      <c r="H19" s="19" t="str">
        <f aca="false">IFERROR(VLOOKUP($C19,BaseAlimentos,6,0)*$D19/100,"")</f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5" hidden="false" customHeight="false" outlineLevel="0" collapsed="false">
      <c r="A20" s="20"/>
      <c r="B20" s="20"/>
      <c r="C20" s="20"/>
      <c r="D20" s="16"/>
      <c r="E20" s="19" t="str">
        <f aca="false">IFERROR(VLOOKUP($C20,BaseAlimentos,3,0)*$D20/100,"")</f>
        <v/>
      </c>
      <c r="F20" s="19" t="str">
        <f aca="false">IFERROR(VLOOKUP($C20,BaseAlimentos,4,0)*$D20/100,"")</f>
        <v/>
      </c>
      <c r="G20" s="19" t="str">
        <f aca="false">IFERROR(VLOOKUP($C20,BaseAlimentos,5,0)*$D20/100,"")</f>
        <v/>
      </c>
      <c r="H20" s="19" t="str">
        <f aca="false">IFERROR(VLOOKUP($C20,BaseAlimentos,6,0)*$D20/100,"")</f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5" hidden="false" customHeight="false" outlineLevel="0" collapsed="false">
      <c r="A21" s="20"/>
      <c r="B21" s="20"/>
      <c r="C21" s="20"/>
      <c r="D21" s="16"/>
      <c r="E21" s="19" t="str">
        <f aca="false">IFERROR(VLOOKUP($C21,BaseAlimentos,3,0)*$D21/100,"")</f>
        <v/>
      </c>
      <c r="F21" s="19" t="str">
        <f aca="false">IFERROR(VLOOKUP($C21,BaseAlimentos,4,0)*$D21/100,"")</f>
        <v/>
      </c>
      <c r="G21" s="19" t="str">
        <f aca="false">IFERROR(VLOOKUP($C21,BaseAlimentos,5,0)*$D21/100,"")</f>
        <v/>
      </c>
      <c r="H21" s="19" t="str">
        <f aca="false">IFERROR(VLOOKUP($C21,BaseAlimentos,6,0)*$D21/100,"")</f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5" hidden="false" customHeight="false" outlineLevel="0" collapsed="false">
      <c r="A22" s="20"/>
      <c r="B22" s="20"/>
      <c r="C22" s="20"/>
      <c r="D22" s="16"/>
      <c r="E22" s="19" t="str">
        <f aca="false">IFERROR(VLOOKUP($C22,BaseAlimentos,3,0)*$D22/100,"")</f>
        <v/>
      </c>
      <c r="F22" s="19" t="str">
        <f aca="false">IFERROR(VLOOKUP($C22,BaseAlimentos,4,0)*$D22/100,"")</f>
        <v/>
      </c>
      <c r="G22" s="19" t="str">
        <f aca="false">IFERROR(VLOOKUP($C22,BaseAlimentos,5,0)*$D22/100,"")</f>
        <v/>
      </c>
      <c r="H22" s="19" t="str">
        <f aca="false">IFERROR(VLOOKUP($C22,BaseAlimentos,6,0)*$D22/100,"")</f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5" hidden="false" customHeight="false" outlineLevel="0" collapsed="false">
      <c r="A23" s="20"/>
      <c r="B23" s="20"/>
      <c r="C23" s="20"/>
      <c r="D23" s="16"/>
      <c r="E23" s="19" t="str">
        <f aca="false">IFERROR(VLOOKUP($C23,BaseAlimentos,3,0)*$D23/100,"")</f>
        <v/>
      </c>
      <c r="F23" s="19" t="str">
        <f aca="false">IFERROR(VLOOKUP($C23,BaseAlimentos,4,0)*$D23/100,"")</f>
        <v/>
      </c>
      <c r="G23" s="19" t="str">
        <f aca="false">IFERROR(VLOOKUP($C23,BaseAlimentos,5,0)*$D23/100,"")</f>
        <v/>
      </c>
      <c r="H23" s="19" t="str">
        <f aca="false">IFERROR(VLOOKUP($C23,BaseAlimentos,6,0)*$D23/100,"")</f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5" hidden="false" customHeight="false" outlineLevel="0" collapsed="false">
      <c r="A24" s="20"/>
      <c r="B24" s="20"/>
      <c r="C24" s="20"/>
      <c r="D24" s="16"/>
      <c r="E24" s="19" t="str">
        <f aca="false">IFERROR(VLOOKUP($C24,BaseAlimentos,3,0)*$D24/100,"")</f>
        <v/>
      </c>
      <c r="F24" s="19" t="str">
        <f aca="false">IFERROR(VLOOKUP($C24,BaseAlimentos,4,0)*$D24/100,"")</f>
        <v/>
      </c>
      <c r="G24" s="19" t="str">
        <f aca="false">IFERROR(VLOOKUP($C24,BaseAlimentos,5,0)*$D24/100,"")</f>
        <v/>
      </c>
      <c r="H24" s="19" t="str">
        <f aca="false">IFERROR(VLOOKUP($C24,BaseAlimentos,6,0)*$D24/100,"")</f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5" hidden="false" customHeight="false" outlineLevel="0" collapsed="false">
      <c r="A25" s="20"/>
      <c r="B25" s="20"/>
      <c r="C25" s="20"/>
      <c r="D25" s="16"/>
      <c r="E25" s="19" t="str">
        <f aca="false">IFERROR(VLOOKUP($C25,BaseAlimentos,3,0)*$D25/100,"")</f>
        <v/>
      </c>
      <c r="F25" s="19" t="str">
        <f aca="false">IFERROR(VLOOKUP($C25,BaseAlimentos,4,0)*$D25/100,"")</f>
        <v/>
      </c>
      <c r="G25" s="19" t="str">
        <f aca="false">IFERROR(VLOOKUP($C25,BaseAlimentos,5,0)*$D25/100,"")</f>
        <v/>
      </c>
      <c r="H25" s="19" t="str">
        <f aca="false">IFERROR(VLOOKUP($C25,BaseAlimentos,6,0)*$D25/100,"")</f>
        <v/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5" hidden="false" customHeight="false" outlineLevel="0" collapsed="false">
      <c r="A26" s="20"/>
      <c r="B26" s="20"/>
      <c r="C26" s="20"/>
      <c r="D26" s="16"/>
      <c r="E26" s="19" t="str">
        <f aca="false">IFERROR(VLOOKUP($C26,BaseAlimentos,3,0)*$D26/100,"")</f>
        <v/>
      </c>
      <c r="F26" s="19" t="str">
        <f aca="false">IFERROR(VLOOKUP($C26,BaseAlimentos,4,0)*$D26/100,"")</f>
        <v/>
      </c>
      <c r="G26" s="19" t="str">
        <f aca="false">IFERROR(VLOOKUP($C26,BaseAlimentos,5,0)*$D26/100,"")</f>
        <v/>
      </c>
      <c r="H26" s="19" t="str">
        <f aca="false">IFERROR(VLOOKUP($C26,BaseAlimentos,6,0)*$D26/100,"")</f>
        <v/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false" outlineLevel="0" collapsed="false">
      <c r="A27" s="20"/>
      <c r="B27" s="20"/>
      <c r="C27" s="20"/>
      <c r="D27" s="16"/>
      <c r="E27" s="19" t="str">
        <f aca="false">IFERROR(VLOOKUP($C27,BaseAlimentos,3,0)*$D27/100,"")</f>
        <v/>
      </c>
      <c r="F27" s="19" t="str">
        <f aca="false">IFERROR(VLOOKUP($C27,BaseAlimentos,4,0)*$D27/100,"")</f>
        <v/>
      </c>
      <c r="G27" s="19" t="str">
        <f aca="false">IFERROR(VLOOKUP($C27,BaseAlimentos,5,0)*$D27/100,"")</f>
        <v/>
      </c>
      <c r="H27" s="19" t="str">
        <f aca="false">IFERROR(VLOOKUP($C27,BaseAlimentos,6,0)*$D27/100,"")</f>
        <v/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5" hidden="false" customHeight="false" outlineLevel="0" collapsed="false">
      <c r="A28" s="20"/>
      <c r="B28" s="20"/>
      <c r="C28" s="20"/>
      <c r="D28" s="16"/>
      <c r="E28" s="19" t="str">
        <f aca="false">IFERROR(VLOOKUP($C28,BaseAlimentos,3,0)*$D28/100,"")</f>
        <v/>
      </c>
      <c r="F28" s="19" t="str">
        <f aca="false">IFERROR(VLOOKUP($C28,BaseAlimentos,4,0)*$D28/100,"")</f>
        <v/>
      </c>
      <c r="G28" s="19" t="str">
        <f aca="false">IFERROR(VLOOKUP($C28,BaseAlimentos,5,0)*$D28/100,"")</f>
        <v/>
      </c>
      <c r="H28" s="19" t="str">
        <f aca="false">IFERROR(VLOOKUP($C28,BaseAlimentos,6,0)*$D28/100,"")</f>
        <v/>
      </c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5" hidden="false" customHeight="false" outlineLevel="0" collapsed="false">
      <c r="A29" s="20"/>
      <c r="B29" s="20"/>
      <c r="C29" s="20"/>
      <c r="D29" s="16"/>
      <c r="E29" s="19" t="str">
        <f aca="false">IFERROR(VLOOKUP($C29,BaseAlimentos,3,0)*$D29/100,"")</f>
        <v/>
      </c>
      <c r="F29" s="19" t="str">
        <f aca="false">IFERROR(VLOOKUP($C29,BaseAlimentos,4,0)*$D29/100,"")</f>
        <v/>
      </c>
      <c r="G29" s="19" t="str">
        <f aca="false">IFERROR(VLOOKUP($C29,BaseAlimentos,5,0)*$D29/100,"")</f>
        <v/>
      </c>
      <c r="H29" s="19" t="str">
        <f aca="false">IFERROR(VLOOKUP($C29,BaseAlimentos,6,0)*$D29/100,"")</f>
        <v/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5" hidden="false" customHeight="false" outlineLevel="0" collapsed="false">
      <c r="A30" s="20"/>
      <c r="B30" s="20"/>
      <c r="C30" s="20"/>
      <c r="D30" s="16"/>
      <c r="E30" s="19" t="str">
        <f aca="false">IFERROR(VLOOKUP($C30,BaseAlimentos,3,0)*$D30/100,"")</f>
        <v/>
      </c>
      <c r="F30" s="19" t="str">
        <f aca="false">IFERROR(VLOOKUP($C30,BaseAlimentos,4,0)*$D30/100,"")</f>
        <v/>
      </c>
      <c r="G30" s="19" t="str">
        <f aca="false">IFERROR(VLOOKUP($C30,BaseAlimentos,5,0)*$D30/100,"")</f>
        <v/>
      </c>
      <c r="H30" s="19" t="str">
        <f aca="false">IFERROR(VLOOKUP($C30,BaseAlimentos,6,0)*$D30/100,"")</f>
        <v/>
      </c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5" hidden="false" customHeight="false" outlineLevel="0" collapsed="false">
      <c r="A31" s="21" t="s">
        <v>78</v>
      </c>
      <c r="B31" s="2"/>
      <c r="C31" s="2"/>
      <c r="D31" s="2"/>
      <c r="E31" s="19" t="n">
        <f aca="false">IFERROR(SUM(E2:E30),"")</f>
        <v>349.5</v>
      </c>
      <c r="F31" s="19" t="n">
        <f aca="false">IFERROR(SUM(F2:F30),"")</f>
        <v>21.45</v>
      </c>
      <c r="G31" s="19" t="n">
        <f aca="false">IFERROR(SUM(G2:G30),"")</f>
        <v>34.1</v>
      </c>
      <c r="H31" s="19" t="n">
        <f aca="false">IFERROR(SUM(H2:H30),"")</f>
        <v>14.45</v>
      </c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23.85" hidden="false" customHeight="false" outlineLevel="0" collapsed="false">
      <c r="A33" s="22" t="s">
        <v>79</v>
      </c>
      <c r="B33" s="2"/>
      <c r="C33" s="2"/>
      <c r="D33" s="2"/>
      <c r="E33" s="19" t="n">
        <f aca="false">ENGINE!B15</f>
        <v>2264.0625</v>
      </c>
      <c r="F33" s="19" t="n">
        <f aca="false">ENGINE!B19</f>
        <v>156</v>
      </c>
      <c r="G33" s="19" t="n">
        <f aca="false">ENGINE!B21</f>
        <v>234.515625</v>
      </c>
      <c r="H33" s="19" t="n">
        <f aca="false">ENGINE!B20</f>
        <v>78</v>
      </c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5" hidden="false" customHeight="false" outlineLevel="0" collapsed="false">
      <c r="A34" s="22" t="s">
        <v>80</v>
      </c>
      <c r="B34" s="2"/>
      <c r="C34" s="2"/>
      <c r="D34" s="2"/>
      <c r="E34" s="19" t="n">
        <f aca="false">IFERROR(E31-E33,"")</f>
        <v>-1914.5625</v>
      </c>
      <c r="F34" s="19" t="n">
        <f aca="false">IFERROR(F31-F33,"")</f>
        <v>-134.55</v>
      </c>
      <c r="G34" s="19" t="n">
        <f aca="false">IFERROR(G31-G33,"")</f>
        <v>-200.415625</v>
      </c>
      <c r="H34" s="19" t="n">
        <f aca="false">IFERROR(H31-H33,"")</f>
        <v>-63.55</v>
      </c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5" hidden="false" customHeight="true" outlineLevel="0" collapsed="false">
      <c r="A36" s="12" t="s">
        <v>81</v>
      </c>
      <c r="B36" s="12"/>
      <c r="C36" s="12"/>
      <c r="D36" s="12"/>
      <c r="E36" s="12"/>
      <c r="F36" s="12"/>
      <c r="G36" s="12"/>
      <c r="H36" s="1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</sheetData>
  <mergeCells count="1">
    <mergeCell ref="A36:H37"/>
  </mergeCells>
  <conditionalFormatting sqref="E34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2">
      <formula>0</formula>
    </cfRule>
  </conditionalFormatting>
  <conditionalFormatting sqref="F34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2">
      <formula>0</formula>
    </cfRule>
  </conditionalFormatting>
  <conditionalFormatting sqref="G34">
    <cfRule type="cellIs" priority="6" operator="lessThan" aboveAverage="0" equalAverage="0" bottom="0" percent="0" rank="0" text="" dxfId="1">
      <formula>0</formula>
    </cfRule>
    <cfRule type="cellIs" priority="7" operator="greaterThan" aboveAverage="0" equalAverage="0" bottom="0" percent="0" rank="0" text="" dxfId="2">
      <formula>0</formula>
    </cfRule>
  </conditionalFormatting>
  <conditionalFormatting sqref="H34">
    <cfRule type="cellIs" priority="8" operator="lessThan" aboveAverage="0" equalAverage="0" bottom="0" percent="0" rank="0" text="" dxfId="1">
      <formula>0</formula>
    </cfRule>
    <cfRule type="cellIs" priority="9" operator="greaterThan" aboveAverage="0" equalAverage="0" bottom="0" percent="0" rank="0" text="" dxfId="2">
      <formula>0</formula>
    </cfRule>
  </conditionalFormatting>
  <dataValidations count="3">
    <dataValidation allowBlank="true" errorStyle="stop" operator="between" showDropDown="false" showErrorMessage="false" showInputMessage="false" sqref="A2:A30" type="list">
      <formula1>"Café da Manhã,Almoço,Jantar,Lanche"</formula1>
      <formula2>0</formula2>
    </dataValidation>
    <dataValidation allowBlank="true" errorStyle="stop" operator="between" showDropDown="false" showErrorMessage="false" showInputMessage="false" sqref="B2:B30" type="list">
      <formula1>"Proteína,Base,Vegetal,Extra"</formula1>
      <formula2>0</formula2>
    </dataValidation>
    <dataValidation allowBlank="true" errorStyle="stop" operator="between" showDropDown="false" showErrorMessage="false" showInputMessage="false" sqref="C2:C30" type="list">
      <formula1>$M$2:$M$17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6"/>
  </cols>
  <sheetData>
    <row r="1" customFormat="false" ht="23.85" hidden="false" customHeight="false" outlineLevel="0" collapsed="false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2"/>
    </row>
    <row r="2" customFormat="false" ht="15" hidden="false" customHeight="false" outlineLevel="0" collapsed="false">
      <c r="A2" s="7" t="n">
        <v>1</v>
      </c>
      <c r="B2" s="20" t="s">
        <v>92</v>
      </c>
      <c r="C2" s="20" t="s">
        <v>93</v>
      </c>
      <c r="D2" s="7" t="n">
        <v>4</v>
      </c>
      <c r="E2" s="7" t="n">
        <v>10</v>
      </c>
      <c r="F2" s="15" t="n">
        <v>40</v>
      </c>
      <c r="G2" s="7" t="n">
        <v>7</v>
      </c>
      <c r="H2" s="19" t="n">
        <f aca="false">IFERROR(IF(C2="","",D2*E2*F2),"")</f>
        <v>1600</v>
      </c>
      <c r="I2" s="23" t="str">
        <f aca="false">IF(C2="","",IFERROR(IF(J2="","Sem dado anterior",IF(H2&gt;J2,"Progrediu","Revisar")),"Sem dado anterior"))</f>
        <v>Sem dado anterior</v>
      </c>
      <c r="J2" s="24" t="str">
        <f aca="false">IF(C2="","","")</f>
        <v/>
      </c>
      <c r="K2" s="2"/>
    </row>
    <row r="3" customFormat="false" ht="15" hidden="false" customHeight="false" outlineLevel="0" collapsed="false">
      <c r="A3" s="7"/>
      <c r="B3" s="20"/>
      <c r="C3" s="20"/>
      <c r="D3" s="7"/>
      <c r="E3" s="7"/>
      <c r="F3" s="15"/>
      <c r="G3" s="7"/>
      <c r="H3" s="19" t="str">
        <f aca="false">IFERROR(IF(C3="","",D3*E3*F3),"")</f>
        <v/>
      </c>
      <c r="I3" s="23" t="str">
        <f aca="false">IF(C3="","",IFERROR(IF(J3="","Sem dado anterior",IF(H3&gt;J3,"Progrediu","Revisar")),"Sem dado anterior"))</f>
        <v/>
      </c>
      <c r="J3" s="24" t="str">
        <f aca="false">IF(C3="","",IFERROR(INDEX($H$2:H2,SUMPRODUCT(MAX(($C$2:C2=C3)*(ROW($C$2:C2)-ROW($C$2)+1)))),""))</f>
        <v/>
      </c>
      <c r="K3" s="2"/>
    </row>
    <row r="4" customFormat="false" ht="15" hidden="false" customHeight="false" outlineLevel="0" collapsed="false">
      <c r="A4" s="7"/>
      <c r="B4" s="20"/>
      <c r="C4" s="20"/>
      <c r="D4" s="7"/>
      <c r="E4" s="7"/>
      <c r="F4" s="15"/>
      <c r="G4" s="7"/>
      <c r="H4" s="19" t="str">
        <f aca="false">IFERROR(IF(C4="","",D4*E4*F4),"")</f>
        <v/>
      </c>
      <c r="I4" s="23" t="str">
        <f aca="false">IF(C4="","",IFERROR(IF(J4="","Sem dado anterior",IF(H4&gt;J4,"Progrediu","Revisar")),"Sem dado anterior"))</f>
        <v/>
      </c>
      <c r="J4" s="24" t="str">
        <f aca="false">IF(C4="","",IFERROR(INDEX($H$2:H3,SUMPRODUCT(MAX(($C$2:C3=C4)*(ROW($C$2:C3)-ROW($C$2)+1)))),""))</f>
        <v/>
      </c>
      <c r="K4" s="2"/>
    </row>
    <row r="5" customFormat="false" ht="15" hidden="false" customHeight="false" outlineLevel="0" collapsed="false">
      <c r="A5" s="7"/>
      <c r="B5" s="20"/>
      <c r="C5" s="20"/>
      <c r="D5" s="7"/>
      <c r="E5" s="7"/>
      <c r="F5" s="15"/>
      <c r="G5" s="7"/>
      <c r="H5" s="19" t="str">
        <f aca="false">IFERROR(IF(C5="","",D5*E5*F5),"")</f>
        <v/>
      </c>
      <c r="I5" s="23" t="str">
        <f aca="false">IF(C5="","",IFERROR(IF(J5="","Sem dado anterior",IF(H5&gt;J5,"Progrediu","Revisar")),"Sem dado anterior"))</f>
        <v/>
      </c>
      <c r="J5" s="24" t="str">
        <f aca="false">IF(C5="","",IFERROR(INDEX($H$2:H4,SUMPRODUCT(MAX(($C$2:C4=C5)*(ROW($C$2:C4)-ROW($C$2)+1)))),""))</f>
        <v/>
      </c>
      <c r="K5" s="2"/>
    </row>
    <row r="6" customFormat="false" ht="15" hidden="false" customHeight="false" outlineLevel="0" collapsed="false">
      <c r="A6" s="7"/>
      <c r="B6" s="20"/>
      <c r="C6" s="20"/>
      <c r="D6" s="7"/>
      <c r="E6" s="7"/>
      <c r="F6" s="15"/>
      <c r="G6" s="7"/>
      <c r="H6" s="19" t="str">
        <f aca="false">IFERROR(IF(C6="","",D6*E6*F6),"")</f>
        <v/>
      </c>
      <c r="I6" s="23" t="str">
        <f aca="false">IF(C6="","",IFERROR(IF(J6="","Sem dado anterior",IF(H6&gt;J6,"Progrediu","Revisar")),"Sem dado anterior"))</f>
        <v/>
      </c>
      <c r="J6" s="24" t="str">
        <f aca="false">IF(C6="","",IFERROR(INDEX($H$2:H5,SUMPRODUCT(MAX(($C$2:C5=C6)*(ROW($C$2:C5)-ROW($C$2)+1)))),""))</f>
        <v/>
      </c>
      <c r="K6" s="2"/>
    </row>
    <row r="7" customFormat="false" ht="15" hidden="false" customHeight="false" outlineLevel="0" collapsed="false">
      <c r="A7" s="7"/>
      <c r="B7" s="20"/>
      <c r="C7" s="20"/>
      <c r="D7" s="7"/>
      <c r="E7" s="7"/>
      <c r="F7" s="15"/>
      <c r="G7" s="7"/>
      <c r="H7" s="19" t="str">
        <f aca="false">IFERROR(IF(C7="","",D7*E7*F7),"")</f>
        <v/>
      </c>
      <c r="I7" s="23" t="str">
        <f aca="false">IF(C7="","",IFERROR(IF(J7="","Sem dado anterior",IF(H7&gt;J7,"Progrediu","Revisar")),"Sem dado anterior"))</f>
        <v/>
      </c>
      <c r="J7" s="24" t="str">
        <f aca="false">IF(C7="","",IFERROR(INDEX($H$2:H6,SUMPRODUCT(MAX(($C$2:C6=C7)*(ROW($C$2:C6)-ROW($C$2)+1)))),""))</f>
        <v/>
      </c>
      <c r="K7" s="2"/>
    </row>
    <row r="8" customFormat="false" ht="15" hidden="false" customHeight="false" outlineLevel="0" collapsed="false">
      <c r="A8" s="7"/>
      <c r="B8" s="20"/>
      <c r="C8" s="20"/>
      <c r="D8" s="7"/>
      <c r="E8" s="7"/>
      <c r="F8" s="15"/>
      <c r="G8" s="7"/>
      <c r="H8" s="19" t="str">
        <f aca="false">IFERROR(IF(C8="","",D8*E8*F8),"")</f>
        <v/>
      </c>
      <c r="I8" s="23" t="str">
        <f aca="false">IF(C8="","",IFERROR(IF(J8="","Sem dado anterior",IF(H8&gt;J8,"Progrediu","Revisar")),"Sem dado anterior"))</f>
        <v/>
      </c>
      <c r="J8" s="24" t="str">
        <f aca="false">IF(C8="","",IFERROR(INDEX($H$2:H7,SUMPRODUCT(MAX(($C$2:C7=C8)*(ROW($C$2:C7)-ROW($C$2)+1)))),""))</f>
        <v/>
      </c>
      <c r="K8" s="2"/>
    </row>
    <row r="9" customFormat="false" ht="15" hidden="false" customHeight="false" outlineLevel="0" collapsed="false">
      <c r="A9" s="7"/>
      <c r="B9" s="20"/>
      <c r="C9" s="20"/>
      <c r="D9" s="7"/>
      <c r="E9" s="7"/>
      <c r="F9" s="15"/>
      <c r="G9" s="7"/>
      <c r="H9" s="19" t="str">
        <f aca="false">IFERROR(IF(C9="","",D9*E9*F9),"")</f>
        <v/>
      </c>
      <c r="I9" s="23" t="str">
        <f aca="false">IF(C9="","",IFERROR(IF(J9="","Sem dado anterior",IF(H9&gt;J9,"Progrediu","Revisar")),"Sem dado anterior"))</f>
        <v/>
      </c>
      <c r="J9" s="24" t="str">
        <f aca="false">IF(C9="","",IFERROR(INDEX($H$2:H8,SUMPRODUCT(MAX(($C$2:C8=C9)*(ROW($C$2:C8)-ROW($C$2)+1)))),""))</f>
        <v/>
      </c>
      <c r="K9" s="2"/>
    </row>
    <row r="10" customFormat="false" ht="15" hidden="false" customHeight="false" outlineLevel="0" collapsed="false">
      <c r="A10" s="7"/>
      <c r="B10" s="20"/>
      <c r="C10" s="20"/>
      <c r="D10" s="7"/>
      <c r="E10" s="7"/>
      <c r="F10" s="15"/>
      <c r="G10" s="7"/>
      <c r="H10" s="19" t="str">
        <f aca="false">IFERROR(IF(C10="","",D10*E10*F10),"")</f>
        <v/>
      </c>
      <c r="I10" s="23" t="str">
        <f aca="false">IF(C10="","",IFERROR(IF(J10="","Sem dado anterior",IF(H10&gt;J10,"Progrediu","Revisar")),"Sem dado anterior"))</f>
        <v/>
      </c>
      <c r="J10" s="24" t="str">
        <f aca="false">IF(C10="","",IFERROR(INDEX($H$2:H9,SUMPRODUCT(MAX(($C$2:C9=C10)*(ROW($C$2:C9)-ROW($C$2)+1)))),""))</f>
        <v/>
      </c>
      <c r="K10" s="2"/>
    </row>
    <row r="11" customFormat="false" ht="15" hidden="false" customHeight="false" outlineLevel="0" collapsed="false">
      <c r="A11" s="7"/>
      <c r="B11" s="20"/>
      <c r="C11" s="20"/>
      <c r="D11" s="7"/>
      <c r="E11" s="7"/>
      <c r="F11" s="15"/>
      <c r="G11" s="7"/>
      <c r="H11" s="19" t="str">
        <f aca="false">IFERROR(IF(C11="","",D11*E11*F11),"")</f>
        <v/>
      </c>
      <c r="I11" s="23" t="str">
        <f aca="false">IF(C11="","",IFERROR(IF(J11="","Sem dado anterior",IF(H11&gt;J11,"Progrediu","Revisar")),"Sem dado anterior"))</f>
        <v/>
      </c>
      <c r="J11" s="24" t="str">
        <f aca="false">IF(C11="","",IFERROR(INDEX($H$2:H10,SUMPRODUCT(MAX(($C$2:C10=C11)*(ROW($C$2:C10)-ROW($C$2)+1)))),""))</f>
        <v/>
      </c>
      <c r="K11" s="2"/>
    </row>
    <row r="12" customFormat="false" ht="15" hidden="false" customHeight="false" outlineLevel="0" collapsed="false">
      <c r="A12" s="7"/>
      <c r="B12" s="20"/>
      <c r="C12" s="20"/>
      <c r="D12" s="7"/>
      <c r="E12" s="7"/>
      <c r="F12" s="15"/>
      <c r="G12" s="7"/>
      <c r="H12" s="19" t="str">
        <f aca="false">IFERROR(IF(C12="","",D12*E12*F12),"")</f>
        <v/>
      </c>
      <c r="I12" s="23" t="str">
        <f aca="false">IF(C12="","",IFERROR(IF(J12="","Sem dado anterior",IF(H12&gt;J12,"Progrediu","Revisar")),"Sem dado anterior"))</f>
        <v/>
      </c>
      <c r="J12" s="24" t="str">
        <f aca="false">IF(C12="","",IFERROR(INDEX($H$2:H11,SUMPRODUCT(MAX(($C$2:C11=C12)*(ROW($C$2:C11)-ROW($C$2)+1)))),""))</f>
        <v/>
      </c>
      <c r="K12" s="2"/>
    </row>
    <row r="13" customFormat="false" ht="15" hidden="false" customHeight="false" outlineLevel="0" collapsed="false">
      <c r="A13" s="7"/>
      <c r="B13" s="20"/>
      <c r="C13" s="20"/>
      <c r="D13" s="7"/>
      <c r="E13" s="7"/>
      <c r="F13" s="15"/>
      <c r="G13" s="7"/>
      <c r="H13" s="19" t="str">
        <f aca="false">IFERROR(IF(C13="","",D13*E13*F13),"")</f>
        <v/>
      </c>
      <c r="I13" s="23" t="str">
        <f aca="false">IF(C13="","",IFERROR(IF(J13="","Sem dado anterior",IF(H13&gt;J13,"Progrediu","Revisar")),"Sem dado anterior"))</f>
        <v/>
      </c>
      <c r="J13" s="24" t="str">
        <f aca="false">IF(C13="","",IFERROR(INDEX($H$2:H12,SUMPRODUCT(MAX(($C$2:C12=C13)*(ROW($C$2:C12)-ROW($C$2)+1)))),""))</f>
        <v/>
      </c>
      <c r="K13" s="2"/>
    </row>
    <row r="14" customFormat="false" ht="15" hidden="false" customHeight="false" outlineLevel="0" collapsed="false">
      <c r="A14" s="7"/>
      <c r="B14" s="20"/>
      <c r="C14" s="20"/>
      <c r="D14" s="7"/>
      <c r="E14" s="7"/>
      <c r="F14" s="15"/>
      <c r="G14" s="7"/>
      <c r="H14" s="19" t="str">
        <f aca="false">IFERROR(IF(C14="","",D14*E14*F14),"")</f>
        <v/>
      </c>
      <c r="I14" s="23" t="str">
        <f aca="false">IF(C14="","",IFERROR(IF(J14="","Sem dado anterior",IF(H14&gt;J14,"Progrediu","Revisar")),"Sem dado anterior"))</f>
        <v/>
      </c>
      <c r="J14" s="24" t="str">
        <f aca="false">IF(C14="","",IFERROR(INDEX($H$2:H13,SUMPRODUCT(MAX(($C$2:C13=C14)*(ROW($C$2:C13)-ROW($C$2)+1)))),""))</f>
        <v/>
      </c>
      <c r="K14" s="2"/>
    </row>
    <row r="15" customFormat="false" ht="15" hidden="false" customHeight="false" outlineLevel="0" collapsed="false">
      <c r="A15" s="7"/>
      <c r="B15" s="20"/>
      <c r="C15" s="20"/>
      <c r="D15" s="7"/>
      <c r="E15" s="7"/>
      <c r="F15" s="15"/>
      <c r="G15" s="7"/>
      <c r="H15" s="19" t="str">
        <f aca="false">IFERROR(IF(C15="","",D15*E15*F15),"")</f>
        <v/>
      </c>
      <c r="I15" s="23" t="str">
        <f aca="false">IF(C15="","",IFERROR(IF(J15="","Sem dado anterior",IF(H15&gt;J15,"Progrediu","Revisar")),"Sem dado anterior"))</f>
        <v/>
      </c>
      <c r="J15" s="24" t="str">
        <f aca="false">IF(C15="","",IFERROR(INDEX($H$2:H14,SUMPRODUCT(MAX(($C$2:C14=C15)*(ROW($C$2:C14)-ROW($C$2)+1)))),""))</f>
        <v/>
      </c>
      <c r="K15" s="2"/>
    </row>
    <row r="16" customFormat="false" ht="15" hidden="false" customHeight="false" outlineLevel="0" collapsed="false">
      <c r="A16" s="7"/>
      <c r="B16" s="20"/>
      <c r="C16" s="20"/>
      <c r="D16" s="7"/>
      <c r="E16" s="7"/>
      <c r="F16" s="15"/>
      <c r="G16" s="7"/>
      <c r="H16" s="19" t="str">
        <f aca="false">IFERROR(IF(C16="","",D16*E16*F16),"")</f>
        <v/>
      </c>
      <c r="I16" s="23" t="str">
        <f aca="false">IF(C16="","",IFERROR(IF(J16="","Sem dado anterior",IF(H16&gt;J16,"Progrediu","Revisar")),"Sem dado anterior"))</f>
        <v/>
      </c>
      <c r="J16" s="24" t="str">
        <f aca="false">IF(C16="","",IFERROR(INDEX($H$2:H15,SUMPRODUCT(MAX(($C$2:C15=C16)*(ROW($C$2:C15)-ROW($C$2)+1)))),""))</f>
        <v/>
      </c>
      <c r="K16" s="2"/>
    </row>
    <row r="17" customFormat="false" ht="15" hidden="false" customHeight="false" outlineLevel="0" collapsed="false">
      <c r="A17" s="7"/>
      <c r="B17" s="20"/>
      <c r="C17" s="20"/>
      <c r="D17" s="7"/>
      <c r="E17" s="7"/>
      <c r="F17" s="15"/>
      <c r="G17" s="7"/>
      <c r="H17" s="19" t="str">
        <f aca="false">IFERROR(IF(C17="","",D17*E17*F17),"")</f>
        <v/>
      </c>
      <c r="I17" s="23" t="str">
        <f aca="false">IF(C17="","",IFERROR(IF(J17="","Sem dado anterior",IF(H17&gt;J17,"Progrediu","Revisar")),"Sem dado anterior"))</f>
        <v/>
      </c>
      <c r="J17" s="24" t="str">
        <f aca="false">IF(C17="","",IFERROR(INDEX($H$2:H16,SUMPRODUCT(MAX(($C$2:C16=C17)*(ROW($C$2:C16)-ROW($C$2)+1)))),""))</f>
        <v/>
      </c>
      <c r="K17" s="2"/>
    </row>
    <row r="18" customFormat="false" ht="15" hidden="false" customHeight="false" outlineLevel="0" collapsed="false">
      <c r="A18" s="7"/>
      <c r="B18" s="20"/>
      <c r="C18" s="20"/>
      <c r="D18" s="7"/>
      <c r="E18" s="7"/>
      <c r="F18" s="15"/>
      <c r="G18" s="7"/>
      <c r="H18" s="19" t="str">
        <f aca="false">IFERROR(IF(C18="","",D18*E18*F18),"")</f>
        <v/>
      </c>
      <c r="I18" s="23" t="str">
        <f aca="false">IF(C18="","",IFERROR(IF(J18="","Sem dado anterior",IF(H18&gt;J18,"Progrediu","Revisar")),"Sem dado anterior"))</f>
        <v/>
      </c>
      <c r="J18" s="24" t="str">
        <f aca="false">IF(C18="","",IFERROR(INDEX($H$2:H17,SUMPRODUCT(MAX(($C$2:C17=C18)*(ROW($C$2:C17)-ROW($C$2)+1)))),""))</f>
        <v/>
      </c>
      <c r="K18" s="2"/>
    </row>
    <row r="19" customFormat="false" ht="15" hidden="false" customHeight="false" outlineLevel="0" collapsed="false">
      <c r="A19" s="7"/>
      <c r="B19" s="20"/>
      <c r="C19" s="20"/>
      <c r="D19" s="7"/>
      <c r="E19" s="7"/>
      <c r="F19" s="15"/>
      <c r="G19" s="7"/>
      <c r="H19" s="19" t="str">
        <f aca="false">IFERROR(IF(C19="","",D19*E19*F19),"")</f>
        <v/>
      </c>
      <c r="I19" s="23" t="str">
        <f aca="false">IF(C19="","",IFERROR(IF(J19="","Sem dado anterior",IF(H19&gt;J19,"Progrediu","Revisar")),"Sem dado anterior"))</f>
        <v/>
      </c>
      <c r="J19" s="24" t="str">
        <f aca="false">IF(C19="","",IFERROR(INDEX($H$2:H18,SUMPRODUCT(MAX(($C$2:C18=C19)*(ROW($C$2:C18)-ROW($C$2)+1)))),""))</f>
        <v/>
      </c>
      <c r="K19" s="2"/>
    </row>
    <row r="20" customFormat="false" ht="15" hidden="false" customHeight="false" outlineLevel="0" collapsed="false">
      <c r="A20" s="7"/>
      <c r="B20" s="20"/>
      <c r="C20" s="20"/>
      <c r="D20" s="7"/>
      <c r="E20" s="7"/>
      <c r="F20" s="15"/>
      <c r="G20" s="7"/>
      <c r="H20" s="19" t="str">
        <f aca="false">IFERROR(IF(C20="","",D20*E20*F20),"")</f>
        <v/>
      </c>
      <c r="I20" s="23" t="str">
        <f aca="false">IF(C20="","",IFERROR(IF(J20="","Sem dado anterior",IF(H20&gt;J20,"Progrediu","Revisar")),"Sem dado anterior"))</f>
        <v/>
      </c>
      <c r="J20" s="24" t="str">
        <f aca="false">IF(C20="","",IFERROR(INDEX($H$2:H19,SUMPRODUCT(MAX(($C$2:C19=C20)*(ROW($C$2:C19)-ROW($C$2)+1)))),""))</f>
        <v/>
      </c>
      <c r="K20" s="2"/>
    </row>
    <row r="21" customFormat="false" ht="15" hidden="false" customHeight="false" outlineLevel="0" collapsed="false">
      <c r="A21" s="7"/>
      <c r="B21" s="20"/>
      <c r="C21" s="20"/>
      <c r="D21" s="7"/>
      <c r="E21" s="7"/>
      <c r="F21" s="15"/>
      <c r="G21" s="7"/>
      <c r="H21" s="19" t="str">
        <f aca="false">IFERROR(IF(C21="","",D21*E21*F21),"")</f>
        <v/>
      </c>
      <c r="I21" s="23" t="str">
        <f aca="false">IF(C21="","",IFERROR(IF(J21="","Sem dado anterior",IF(H21&gt;J21,"Progrediu","Revisar")),"Sem dado anterior"))</f>
        <v/>
      </c>
      <c r="J21" s="24" t="str">
        <f aca="false">IF(C21="","",IFERROR(INDEX($H$2:H20,SUMPRODUCT(MAX(($C$2:C20=C21)*(ROW($C$2:C20)-ROW($C$2)+1)))),""))</f>
        <v/>
      </c>
      <c r="K21" s="2"/>
    </row>
    <row r="22" customFormat="false" ht="15" hidden="false" customHeight="false" outlineLevel="0" collapsed="false">
      <c r="A22" s="7"/>
      <c r="B22" s="20"/>
      <c r="C22" s="20"/>
      <c r="D22" s="7"/>
      <c r="E22" s="7"/>
      <c r="F22" s="15"/>
      <c r="G22" s="7"/>
      <c r="H22" s="19" t="str">
        <f aca="false">IFERROR(IF(C22="","",D22*E22*F22),"")</f>
        <v/>
      </c>
      <c r="I22" s="23" t="str">
        <f aca="false">IF(C22="","",IFERROR(IF(J22="","Sem dado anterior",IF(H22&gt;J22,"Progrediu","Revisar")),"Sem dado anterior"))</f>
        <v/>
      </c>
      <c r="J22" s="24" t="str">
        <f aca="false">IF(C22="","",IFERROR(INDEX($H$2:H21,SUMPRODUCT(MAX(($C$2:C21=C22)*(ROW($C$2:C21)-ROW($C$2)+1)))),""))</f>
        <v/>
      </c>
      <c r="K22" s="2"/>
    </row>
    <row r="23" customFormat="false" ht="15" hidden="false" customHeight="false" outlineLevel="0" collapsed="false">
      <c r="A23" s="7"/>
      <c r="B23" s="20"/>
      <c r="C23" s="20"/>
      <c r="D23" s="7"/>
      <c r="E23" s="7"/>
      <c r="F23" s="15"/>
      <c r="G23" s="7"/>
      <c r="H23" s="19" t="str">
        <f aca="false">IFERROR(IF(C23="","",D23*E23*F23),"")</f>
        <v/>
      </c>
      <c r="I23" s="23" t="str">
        <f aca="false">IF(C23="","",IFERROR(IF(J23="","Sem dado anterior",IF(H23&gt;J23,"Progrediu","Revisar")),"Sem dado anterior"))</f>
        <v/>
      </c>
      <c r="J23" s="24" t="str">
        <f aca="false">IF(C23="","",IFERROR(INDEX($H$2:H22,SUMPRODUCT(MAX(($C$2:C22=C23)*(ROW($C$2:C22)-ROW($C$2)+1)))),""))</f>
        <v/>
      </c>
      <c r="K23" s="2"/>
    </row>
    <row r="24" customFormat="false" ht="15" hidden="false" customHeight="false" outlineLevel="0" collapsed="false">
      <c r="A24" s="7"/>
      <c r="B24" s="20"/>
      <c r="C24" s="20"/>
      <c r="D24" s="7"/>
      <c r="E24" s="7"/>
      <c r="F24" s="15"/>
      <c r="G24" s="7"/>
      <c r="H24" s="19" t="str">
        <f aca="false">IFERROR(IF(C24="","",D24*E24*F24),"")</f>
        <v/>
      </c>
      <c r="I24" s="23" t="str">
        <f aca="false">IF(C24="","",IFERROR(IF(J24="","Sem dado anterior",IF(H24&gt;J24,"Progrediu","Revisar")),"Sem dado anterior"))</f>
        <v/>
      </c>
      <c r="J24" s="24" t="str">
        <f aca="false">IF(C24="","",IFERROR(INDEX($H$2:H23,SUMPRODUCT(MAX(($C$2:C23=C24)*(ROW($C$2:C23)-ROW($C$2)+1)))),""))</f>
        <v/>
      </c>
      <c r="K24" s="2"/>
    </row>
    <row r="25" customFormat="false" ht="15" hidden="false" customHeight="false" outlineLevel="0" collapsed="false">
      <c r="A25" s="7"/>
      <c r="B25" s="20"/>
      <c r="C25" s="20"/>
      <c r="D25" s="7"/>
      <c r="E25" s="7"/>
      <c r="F25" s="15"/>
      <c r="G25" s="7"/>
      <c r="H25" s="19" t="str">
        <f aca="false">IFERROR(IF(C25="","",D25*E25*F25),"")</f>
        <v/>
      </c>
      <c r="I25" s="23" t="str">
        <f aca="false">IF(C25="","",IFERROR(IF(J25="","Sem dado anterior",IF(H25&gt;J25,"Progrediu","Revisar")),"Sem dado anterior"))</f>
        <v/>
      </c>
      <c r="J25" s="24" t="str">
        <f aca="false">IF(C25="","",IFERROR(INDEX($H$2:H24,SUMPRODUCT(MAX(($C$2:C24=C25)*(ROW($C$2:C24)-ROW($C$2)+1)))),""))</f>
        <v/>
      </c>
      <c r="K25" s="2"/>
    </row>
    <row r="26" customFormat="false" ht="15" hidden="false" customHeight="false" outlineLevel="0" collapsed="false">
      <c r="A26" s="7"/>
      <c r="B26" s="20"/>
      <c r="C26" s="20"/>
      <c r="D26" s="7"/>
      <c r="E26" s="7"/>
      <c r="F26" s="15"/>
      <c r="G26" s="7"/>
      <c r="H26" s="19" t="str">
        <f aca="false">IFERROR(IF(C26="","",D26*E26*F26),"")</f>
        <v/>
      </c>
      <c r="I26" s="23" t="str">
        <f aca="false">IF(C26="","",IFERROR(IF(J26="","Sem dado anterior",IF(H26&gt;J26,"Progrediu","Revisar")),"Sem dado anterior"))</f>
        <v/>
      </c>
      <c r="J26" s="24" t="str">
        <f aca="false">IF(C26="","",IFERROR(INDEX($H$2:H25,SUMPRODUCT(MAX(($C$2:C25=C26)*(ROW($C$2:C25)-ROW($C$2)+1)))),""))</f>
        <v/>
      </c>
      <c r="K26" s="2"/>
    </row>
    <row r="27" customFormat="false" ht="15" hidden="false" customHeight="false" outlineLevel="0" collapsed="false">
      <c r="A27" s="7"/>
      <c r="B27" s="20"/>
      <c r="C27" s="20"/>
      <c r="D27" s="7"/>
      <c r="E27" s="7"/>
      <c r="F27" s="15"/>
      <c r="G27" s="7"/>
      <c r="H27" s="19" t="str">
        <f aca="false">IFERROR(IF(C27="","",D27*E27*F27),"")</f>
        <v/>
      </c>
      <c r="I27" s="23" t="str">
        <f aca="false">IF(C27="","",IFERROR(IF(J27="","Sem dado anterior",IF(H27&gt;J27,"Progrediu","Revisar")),"Sem dado anterior"))</f>
        <v/>
      </c>
      <c r="J27" s="24" t="str">
        <f aca="false">IF(C27="","",IFERROR(INDEX($H$2:H26,SUMPRODUCT(MAX(($C$2:C26=C27)*(ROW($C$2:C26)-ROW($C$2)+1)))),""))</f>
        <v/>
      </c>
      <c r="K27" s="2"/>
    </row>
    <row r="28" customFormat="false" ht="15" hidden="false" customHeight="false" outlineLevel="0" collapsed="false">
      <c r="A28" s="7"/>
      <c r="B28" s="20"/>
      <c r="C28" s="20"/>
      <c r="D28" s="7"/>
      <c r="E28" s="7"/>
      <c r="F28" s="15"/>
      <c r="G28" s="7"/>
      <c r="H28" s="19" t="str">
        <f aca="false">IFERROR(IF(C28="","",D28*E28*F28),"")</f>
        <v/>
      </c>
      <c r="I28" s="23" t="str">
        <f aca="false">IF(C28="","",IFERROR(IF(J28="","Sem dado anterior",IF(H28&gt;J28,"Progrediu","Revisar")),"Sem dado anterior"))</f>
        <v/>
      </c>
      <c r="J28" s="24" t="str">
        <f aca="false">IF(C28="","",IFERROR(INDEX($H$2:H27,SUMPRODUCT(MAX(($C$2:C27=C28)*(ROW($C$2:C27)-ROW($C$2)+1)))),""))</f>
        <v/>
      </c>
      <c r="K28" s="2"/>
    </row>
    <row r="29" customFormat="false" ht="15" hidden="false" customHeight="false" outlineLevel="0" collapsed="false">
      <c r="A29" s="7"/>
      <c r="B29" s="20"/>
      <c r="C29" s="20"/>
      <c r="D29" s="7"/>
      <c r="E29" s="7"/>
      <c r="F29" s="15"/>
      <c r="G29" s="7"/>
      <c r="H29" s="19" t="str">
        <f aca="false">IFERROR(IF(C29="","",D29*E29*F29),"")</f>
        <v/>
      </c>
      <c r="I29" s="23" t="str">
        <f aca="false">IF(C29="","",IFERROR(IF(J29="","Sem dado anterior",IF(H29&gt;J29,"Progrediu","Revisar")),"Sem dado anterior"))</f>
        <v/>
      </c>
      <c r="J29" s="24" t="str">
        <f aca="false">IF(C29="","",IFERROR(INDEX($H$2:H28,SUMPRODUCT(MAX(($C$2:C28=C29)*(ROW($C$2:C28)-ROW($C$2)+1)))),""))</f>
        <v/>
      </c>
      <c r="K29" s="2"/>
    </row>
    <row r="30" customFormat="false" ht="15" hidden="false" customHeight="false" outlineLevel="0" collapsed="false">
      <c r="A30" s="7"/>
      <c r="B30" s="20"/>
      <c r="C30" s="20"/>
      <c r="D30" s="7"/>
      <c r="E30" s="7"/>
      <c r="F30" s="15"/>
      <c r="G30" s="7"/>
      <c r="H30" s="19" t="str">
        <f aca="false">IFERROR(IF(C30="","",D30*E30*F30),"")</f>
        <v/>
      </c>
      <c r="I30" s="23" t="str">
        <f aca="false">IF(C30="","",IFERROR(IF(J30="","Sem dado anterior",IF(H30&gt;J30,"Progrediu","Revisar")),"Sem dado anterior"))</f>
        <v/>
      </c>
      <c r="J30" s="24" t="str">
        <f aca="false">IF(C30="","",IFERROR(INDEX($H$2:H29,SUMPRODUCT(MAX(($C$2:C29=C30)*(ROW($C$2:C29)-ROW($C$2)+1)))),""))</f>
        <v/>
      </c>
      <c r="K30" s="2"/>
    </row>
    <row r="31" customFormat="false" ht="15" hidden="false" customHeight="false" outlineLevel="0" collapsed="false">
      <c r="A31" s="7"/>
      <c r="B31" s="20"/>
      <c r="C31" s="20"/>
      <c r="D31" s="7"/>
      <c r="E31" s="7"/>
      <c r="F31" s="15"/>
      <c r="G31" s="7"/>
      <c r="H31" s="19" t="str">
        <f aca="false">IFERROR(IF(C31="","",D31*E31*F31),"")</f>
        <v/>
      </c>
      <c r="I31" s="23" t="str">
        <f aca="false">IF(C31="","",IFERROR(IF(J31="","Sem dado anterior",IF(H31&gt;J31,"Progrediu","Revisar")),"Sem dado anterior"))</f>
        <v/>
      </c>
      <c r="J31" s="24" t="str">
        <f aca="false">IF(C31="","",IFERROR(INDEX($H$2:H30,SUMPRODUCT(MAX(($C$2:C30=C31)*(ROW($C$2:C30)-ROW($C$2)+1)))),""))</f>
        <v/>
      </c>
      <c r="K31" s="2"/>
    </row>
    <row r="32" customFormat="false" ht="15" hidden="false" customHeight="false" outlineLevel="0" collapsed="false">
      <c r="A32" s="7"/>
      <c r="B32" s="20"/>
      <c r="C32" s="20"/>
      <c r="D32" s="7"/>
      <c r="E32" s="7"/>
      <c r="F32" s="15"/>
      <c r="G32" s="7"/>
      <c r="H32" s="19" t="str">
        <f aca="false">IFERROR(IF(C32="","",D32*E32*F32),"")</f>
        <v/>
      </c>
      <c r="I32" s="23" t="str">
        <f aca="false">IF(C32="","",IFERROR(IF(J32="","Sem dado anterior",IF(H32&gt;J32,"Progrediu","Revisar")),"Sem dado anterior"))</f>
        <v/>
      </c>
      <c r="J32" s="24" t="str">
        <f aca="false">IF(C32="","",IFERROR(INDEX($H$2:H31,SUMPRODUCT(MAX(($C$2:C31=C32)*(ROW($C$2:C31)-ROW($C$2)+1)))),""))</f>
        <v/>
      </c>
      <c r="K32" s="2"/>
    </row>
    <row r="33" customFormat="false" ht="15" hidden="false" customHeight="false" outlineLevel="0" collapsed="false">
      <c r="A33" s="7"/>
      <c r="B33" s="20"/>
      <c r="C33" s="20"/>
      <c r="D33" s="7"/>
      <c r="E33" s="7"/>
      <c r="F33" s="15"/>
      <c r="G33" s="7"/>
      <c r="H33" s="19" t="str">
        <f aca="false">IFERROR(IF(C33="","",D33*E33*F33),"")</f>
        <v/>
      </c>
      <c r="I33" s="23" t="str">
        <f aca="false">IF(C33="","",IFERROR(IF(J33="","Sem dado anterior",IF(H33&gt;J33,"Progrediu","Revisar")),"Sem dado anterior"))</f>
        <v/>
      </c>
      <c r="J33" s="24" t="str">
        <f aca="false">IF(C33="","",IFERROR(INDEX($H$2:H32,SUMPRODUCT(MAX(($C$2:C32=C33)*(ROW($C$2:C32)-ROW($C$2)+1)))),""))</f>
        <v/>
      </c>
      <c r="K33" s="2"/>
    </row>
    <row r="34" customFormat="false" ht="15" hidden="false" customHeight="false" outlineLevel="0" collapsed="false">
      <c r="A34" s="7"/>
      <c r="B34" s="20"/>
      <c r="C34" s="20"/>
      <c r="D34" s="7"/>
      <c r="E34" s="7"/>
      <c r="F34" s="15"/>
      <c r="G34" s="7"/>
      <c r="H34" s="19" t="str">
        <f aca="false">IFERROR(IF(C34="","",D34*E34*F34),"")</f>
        <v/>
      </c>
      <c r="I34" s="23" t="str">
        <f aca="false">IF(C34="","",IFERROR(IF(J34="","Sem dado anterior",IF(H34&gt;J34,"Progrediu","Revisar")),"Sem dado anterior"))</f>
        <v/>
      </c>
      <c r="J34" s="24" t="str">
        <f aca="false">IF(C34="","",IFERROR(INDEX($H$2:H33,SUMPRODUCT(MAX(($C$2:C33=C34)*(ROW($C$2:C33)-ROW($C$2)+1)))),""))</f>
        <v/>
      </c>
      <c r="K34" s="2"/>
    </row>
    <row r="35" customFormat="false" ht="15" hidden="false" customHeight="false" outlineLevel="0" collapsed="false">
      <c r="A35" s="7"/>
      <c r="B35" s="20"/>
      <c r="C35" s="20"/>
      <c r="D35" s="7"/>
      <c r="E35" s="7"/>
      <c r="F35" s="15"/>
      <c r="G35" s="7"/>
      <c r="H35" s="19" t="str">
        <f aca="false">IFERROR(IF(C35="","",D35*E35*F35),"")</f>
        <v/>
      </c>
      <c r="I35" s="23" t="str">
        <f aca="false">IF(C35="","",IFERROR(IF(J35="","Sem dado anterior",IF(H35&gt;J35,"Progrediu","Revisar")),"Sem dado anterior"))</f>
        <v/>
      </c>
      <c r="J35" s="24" t="str">
        <f aca="false">IF(C35="","",IFERROR(INDEX($H$2:H34,SUMPRODUCT(MAX(($C$2:C34=C35)*(ROW($C$2:C34)-ROW($C$2)+1)))),""))</f>
        <v/>
      </c>
      <c r="K35" s="2"/>
    </row>
    <row r="36" customFormat="false" ht="15" hidden="false" customHeight="false" outlineLevel="0" collapsed="false">
      <c r="A36" s="7"/>
      <c r="B36" s="20"/>
      <c r="C36" s="20"/>
      <c r="D36" s="7"/>
      <c r="E36" s="7"/>
      <c r="F36" s="15"/>
      <c r="G36" s="7"/>
      <c r="H36" s="19" t="str">
        <f aca="false">IFERROR(IF(C36="","",D36*E36*F36),"")</f>
        <v/>
      </c>
      <c r="I36" s="23" t="str">
        <f aca="false">IF(C36="","",IFERROR(IF(J36="","Sem dado anterior",IF(H36&gt;J36,"Progrediu","Revisar")),"Sem dado anterior"))</f>
        <v/>
      </c>
      <c r="J36" s="24" t="str">
        <f aca="false">IF(C36="","",IFERROR(INDEX($H$2:H35,SUMPRODUCT(MAX(($C$2:C35=C36)*(ROW($C$2:C35)-ROW($C$2)+1)))),""))</f>
        <v/>
      </c>
      <c r="K36" s="2"/>
    </row>
    <row r="37" customFormat="false" ht="15" hidden="false" customHeight="false" outlineLevel="0" collapsed="false">
      <c r="A37" s="7"/>
      <c r="B37" s="20"/>
      <c r="C37" s="20"/>
      <c r="D37" s="7"/>
      <c r="E37" s="7"/>
      <c r="F37" s="15"/>
      <c r="G37" s="7"/>
      <c r="H37" s="19" t="str">
        <f aca="false">IFERROR(IF(C37="","",D37*E37*F37),"")</f>
        <v/>
      </c>
      <c r="I37" s="23" t="str">
        <f aca="false">IF(C37="","",IFERROR(IF(J37="","Sem dado anterior",IF(H37&gt;J37,"Progrediu","Revisar")),"Sem dado anterior"))</f>
        <v/>
      </c>
      <c r="J37" s="24" t="str">
        <f aca="false">IF(C37="","",IFERROR(INDEX($H$2:H36,SUMPRODUCT(MAX(($C$2:C36=C37)*(ROW($C$2:C36)-ROW($C$2)+1)))),""))</f>
        <v/>
      </c>
      <c r="K37" s="2"/>
    </row>
    <row r="38" customFormat="false" ht="15" hidden="false" customHeight="false" outlineLevel="0" collapsed="false">
      <c r="A38" s="7"/>
      <c r="B38" s="20"/>
      <c r="C38" s="20"/>
      <c r="D38" s="7"/>
      <c r="E38" s="7"/>
      <c r="F38" s="15"/>
      <c r="G38" s="7"/>
      <c r="H38" s="19" t="str">
        <f aca="false">IFERROR(IF(C38="","",D38*E38*F38),"")</f>
        <v/>
      </c>
      <c r="I38" s="23" t="str">
        <f aca="false">IF(C38="","",IFERROR(IF(J38="","Sem dado anterior",IF(H38&gt;J38,"Progrediu","Revisar")),"Sem dado anterior"))</f>
        <v/>
      </c>
      <c r="J38" s="24" t="str">
        <f aca="false">IF(C38="","",IFERROR(INDEX($H$2:H37,SUMPRODUCT(MAX(($C$2:C37=C38)*(ROW($C$2:C37)-ROW($C$2)+1)))),""))</f>
        <v/>
      </c>
      <c r="K38" s="2"/>
    </row>
    <row r="39" customFormat="false" ht="15" hidden="false" customHeight="false" outlineLevel="0" collapsed="false">
      <c r="A39" s="7"/>
      <c r="B39" s="20"/>
      <c r="C39" s="20"/>
      <c r="D39" s="7"/>
      <c r="E39" s="7"/>
      <c r="F39" s="15"/>
      <c r="G39" s="7"/>
      <c r="H39" s="19" t="str">
        <f aca="false">IFERROR(IF(C39="","",D39*E39*F39),"")</f>
        <v/>
      </c>
      <c r="I39" s="23" t="str">
        <f aca="false">IF(C39="","",IFERROR(IF(J39="","Sem dado anterior",IF(H39&gt;J39,"Progrediu","Revisar")),"Sem dado anterior"))</f>
        <v/>
      </c>
      <c r="J39" s="24" t="str">
        <f aca="false">IF(C39="","",IFERROR(INDEX($H$2:H38,SUMPRODUCT(MAX(($C$2:C38=C39)*(ROW($C$2:C38)-ROW($C$2)+1)))),""))</f>
        <v/>
      </c>
      <c r="K39" s="2"/>
    </row>
    <row r="40" customFormat="false" ht="15" hidden="false" customHeight="false" outlineLevel="0" collapsed="false">
      <c r="A40" s="7"/>
      <c r="B40" s="20"/>
      <c r="C40" s="20"/>
      <c r="D40" s="7"/>
      <c r="E40" s="7"/>
      <c r="F40" s="15"/>
      <c r="G40" s="7"/>
      <c r="H40" s="19" t="str">
        <f aca="false">IFERROR(IF(C40="","",D40*E40*F40),"")</f>
        <v/>
      </c>
      <c r="I40" s="23" t="str">
        <f aca="false">IF(C40="","",IFERROR(IF(J40="","Sem dado anterior",IF(H40&gt;J40,"Progrediu","Revisar")),"Sem dado anterior"))</f>
        <v/>
      </c>
      <c r="J40" s="24" t="str">
        <f aca="false">IF(C40="","",IFERROR(INDEX($H$2:H39,SUMPRODUCT(MAX(($C$2:C39=C40)*(ROW($C$2:C39)-ROW($C$2)+1)))),""))</f>
        <v/>
      </c>
      <c r="K40" s="2"/>
    </row>
    <row r="41" customFormat="false" ht="15" hidden="false" customHeight="false" outlineLevel="0" collapsed="false">
      <c r="A41" s="7"/>
      <c r="B41" s="20"/>
      <c r="C41" s="20"/>
      <c r="D41" s="7"/>
      <c r="E41" s="7"/>
      <c r="F41" s="15"/>
      <c r="G41" s="7"/>
      <c r="H41" s="19" t="str">
        <f aca="false">IFERROR(IF(C41="","",D41*E41*F41),"")</f>
        <v/>
      </c>
      <c r="I41" s="23" t="str">
        <f aca="false">IF(C41="","",IFERROR(IF(J41="","Sem dado anterior",IF(H41&gt;J41,"Progrediu","Revisar")),"Sem dado anterior"))</f>
        <v/>
      </c>
      <c r="J41" s="24" t="str">
        <f aca="false">IF(C41="","",IFERROR(INDEX($H$2:H40,SUMPRODUCT(MAX(($C$2:C40=C41)*(ROW($C$2:C40)-ROW($C$2)+1)))),""))</f>
        <v/>
      </c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true" outlineLevel="0" collapsed="false">
      <c r="A43" s="12" t="s">
        <v>94</v>
      </c>
      <c r="B43" s="12"/>
      <c r="C43" s="12"/>
      <c r="D43" s="12"/>
      <c r="E43" s="12"/>
      <c r="F43" s="12"/>
      <c r="G43" s="12"/>
      <c r="H43" s="12"/>
      <c r="I43" s="12"/>
      <c r="J43" s="2"/>
      <c r="K43" s="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</sheetData>
  <mergeCells count="1">
    <mergeCell ref="A43:I44"/>
  </mergeCells>
  <conditionalFormatting sqref="G2:G41">
    <cfRule type="colorScale" priority="2">
      <colorScale>
        <cfvo type="num" val="1"/>
        <cfvo type="num" val="5.5"/>
        <cfvo type="num" val="10"/>
        <color rgb="FF368F8B"/>
        <color rgb="FF4D4D4D"/>
        <color rgb="FF8C2F1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2026-08-29T21:13:30Z</dcterms:created>
  <dc:creator>openpyxl</dc:creator>
  <dc:description/>
  <dc:language>en-US</dc:language>
  <cp:lastModifiedBy/>
  <dcterms:modified xsi:type="dcterms:W3CDTF">2026-08-29T21:13:30Z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